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_Demand_Capex\"/>
    </mc:Choice>
  </mc:AlternateContent>
  <xr:revisionPtr revIDLastSave="0" documentId="13_ncr:1_{8663C480-992B-4F2B-988E-EADFBDBB20D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README" sheetId="1" r:id="rId1"/>
    <sheet name="Fwd Windows" sheetId="2" r:id="rId2"/>
    <sheet name="CY vs Capstone" sheetId="3" r:id="rId3"/>
    <sheet name="Fiscal Years" sheetId="4" r:id="rId4"/>
    <sheet name="Yearly History" sheetId="5" r:id="rId5"/>
    <sheet name="Revisions" sheetId="6" r:id="rId6"/>
    <sheet name="PPE MSFT" sheetId="7" r:id="rId7"/>
    <sheet name="PPE ORCL" sheetId="8" r:id="rId8"/>
    <sheet name="PPE AMZN" sheetId="9" r:id="rId9"/>
    <sheet name="PPE GOOGL" sheetId="10" r:id="rId10"/>
    <sheet name="PPE META" sheetId="11" r:id="rId11"/>
    <sheet name="PPE Summa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2" l="1"/>
  <c r="F8" i="12"/>
  <c r="C8" i="12"/>
  <c r="H8" i="12" s="1"/>
  <c r="F7" i="12"/>
  <c r="F6" i="12"/>
  <c r="I5" i="12"/>
  <c r="F5" i="12"/>
  <c r="D21" i="11"/>
  <c r="E8" i="12" s="1"/>
  <c r="C21" i="11"/>
  <c r="C25" i="11" s="1"/>
  <c r="B21" i="11"/>
  <c r="B25" i="11" s="1"/>
  <c r="D20" i="11"/>
  <c r="D24" i="11" s="1"/>
  <c r="C20" i="11"/>
  <c r="C24" i="11" s="1"/>
  <c r="B20" i="11"/>
  <c r="B24" i="11" s="1"/>
  <c r="D19" i="11"/>
  <c r="D23" i="11" s="1"/>
  <c r="C19" i="11"/>
  <c r="C23" i="11" s="1"/>
  <c r="B19" i="11"/>
  <c r="B23" i="11" s="1"/>
  <c r="D18" i="11"/>
  <c r="D22" i="11" s="1"/>
  <c r="C18" i="11"/>
  <c r="C22" i="11" s="1"/>
  <c r="B18" i="11"/>
  <c r="B22" i="11" s="1"/>
  <c r="D14" i="11"/>
  <c r="C14" i="11"/>
  <c r="B14" i="11"/>
  <c r="B22" i="10"/>
  <c r="D18" i="10"/>
  <c r="D22" i="10" s="1"/>
  <c r="C18" i="10"/>
  <c r="C22" i="10" s="1"/>
  <c r="B18" i="10"/>
  <c r="D17" i="10"/>
  <c r="D21" i="10" s="1"/>
  <c r="C17" i="10"/>
  <c r="C21" i="10" s="1"/>
  <c r="B17" i="10"/>
  <c r="B21" i="10" s="1"/>
  <c r="D16" i="10"/>
  <c r="C7" i="12" s="1"/>
  <c r="H7" i="12" s="1"/>
  <c r="C16" i="10"/>
  <c r="C20" i="10" s="1"/>
  <c r="B16" i="10"/>
  <c r="B20" i="10" s="1"/>
  <c r="D15" i="10"/>
  <c r="B7" i="12" s="1"/>
  <c r="G7" i="12" s="1"/>
  <c r="C15" i="10"/>
  <c r="C19" i="10" s="1"/>
  <c r="B15" i="10"/>
  <c r="B19" i="10" s="1"/>
  <c r="D11" i="10"/>
  <c r="C11" i="10"/>
  <c r="B11" i="10"/>
  <c r="F25" i="9"/>
  <c r="B25" i="9"/>
  <c r="F23" i="9"/>
  <c r="E23" i="9"/>
  <c r="D23" i="9"/>
  <c r="E22" i="9"/>
  <c r="F21" i="9"/>
  <c r="E6" i="12" s="1"/>
  <c r="E21" i="9"/>
  <c r="E25" i="9" s="1"/>
  <c r="D21" i="9"/>
  <c r="D25" i="9" s="1"/>
  <c r="C21" i="9"/>
  <c r="C25" i="9" s="1"/>
  <c r="B21" i="9"/>
  <c r="F20" i="9"/>
  <c r="D6" i="12" s="1"/>
  <c r="E20" i="9"/>
  <c r="E24" i="9" s="1"/>
  <c r="D20" i="9"/>
  <c r="D24" i="9" s="1"/>
  <c r="C20" i="9"/>
  <c r="C24" i="9" s="1"/>
  <c r="B20" i="9"/>
  <c r="B24" i="9" s="1"/>
  <c r="F19" i="9"/>
  <c r="C6" i="12" s="1"/>
  <c r="E19" i="9"/>
  <c r="D19" i="9"/>
  <c r="C19" i="9"/>
  <c r="C23" i="9" s="1"/>
  <c r="B19" i="9"/>
  <c r="B23" i="9" s="1"/>
  <c r="F18" i="9"/>
  <c r="F22" i="9" s="1"/>
  <c r="E18" i="9"/>
  <c r="D18" i="9"/>
  <c r="D22" i="9" s="1"/>
  <c r="C18" i="9"/>
  <c r="C22" i="9" s="1"/>
  <c r="B18" i="9"/>
  <c r="B22" i="9" s="1"/>
  <c r="F14" i="9"/>
  <c r="E14" i="9"/>
  <c r="D14" i="9"/>
  <c r="C14" i="9"/>
  <c r="B14" i="9"/>
  <c r="J23" i="8"/>
  <c r="I23" i="8"/>
  <c r="D23" i="8"/>
  <c r="C22" i="8"/>
  <c r="B22" i="8"/>
  <c r="H21" i="8"/>
  <c r="G20" i="8"/>
  <c r="F20" i="8"/>
  <c r="L19" i="8"/>
  <c r="K19" i="8"/>
  <c r="K23" i="8" s="1"/>
  <c r="J19" i="8"/>
  <c r="I19" i="8"/>
  <c r="H19" i="8"/>
  <c r="H23" i="8" s="1"/>
  <c r="G19" i="8"/>
  <c r="G23" i="8" s="1"/>
  <c r="F19" i="8"/>
  <c r="F23" i="8" s="1"/>
  <c r="E19" i="8"/>
  <c r="E23" i="8" s="1"/>
  <c r="D19" i="8"/>
  <c r="C19" i="8"/>
  <c r="C23" i="8" s="1"/>
  <c r="B19" i="8"/>
  <c r="B23" i="8" s="1"/>
  <c r="L18" i="8"/>
  <c r="K18" i="8"/>
  <c r="K22" i="8" s="1"/>
  <c r="J18" i="8"/>
  <c r="J22" i="8" s="1"/>
  <c r="I18" i="8"/>
  <c r="I22" i="8" s="1"/>
  <c r="H18" i="8"/>
  <c r="H22" i="8" s="1"/>
  <c r="G18" i="8"/>
  <c r="G22" i="8" s="1"/>
  <c r="F18" i="8"/>
  <c r="F22" i="8" s="1"/>
  <c r="E18" i="8"/>
  <c r="E22" i="8" s="1"/>
  <c r="D18" i="8"/>
  <c r="D22" i="8" s="1"/>
  <c r="C18" i="8"/>
  <c r="B18" i="8"/>
  <c r="L17" i="8"/>
  <c r="L21" i="8" s="1"/>
  <c r="K17" i="8"/>
  <c r="K21" i="8" s="1"/>
  <c r="J17" i="8"/>
  <c r="J21" i="8" s="1"/>
  <c r="I17" i="8"/>
  <c r="I21" i="8" s="1"/>
  <c r="H17" i="8"/>
  <c r="G17" i="8"/>
  <c r="G21" i="8" s="1"/>
  <c r="F17" i="8"/>
  <c r="F21" i="8" s="1"/>
  <c r="E17" i="8"/>
  <c r="E21" i="8" s="1"/>
  <c r="D17" i="8"/>
  <c r="D21" i="8" s="1"/>
  <c r="C17" i="8"/>
  <c r="C21" i="8" s="1"/>
  <c r="B17" i="8"/>
  <c r="B21" i="8" s="1"/>
  <c r="L16" i="8"/>
  <c r="B9" i="12" s="1"/>
  <c r="K16" i="8"/>
  <c r="K20" i="8" s="1"/>
  <c r="J16" i="8"/>
  <c r="J20" i="8" s="1"/>
  <c r="I16" i="8"/>
  <c r="I20" i="8" s="1"/>
  <c r="H16" i="8"/>
  <c r="H20" i="8" s="1"/>
  <c r="G16" i="8"/>
  <c r="F16" i="8"/>
  <c r="E16" i="8"/>
  <c r="E20" i="8" s="1"/>
  <c r="D16" i="8"/>
  <c r="D20" i="8" s="1"/>
  <c r="C16" i="8"/>
  <c r="C20" i="8" s="1"/>
  <c r="B16" i="8"/>
  <c r="B20" i="8" s="1"/>
  <c r="L12" i="8"/>
  <c r="K12" i="8"/>
  <c r="J12" i="8"/>
  <c r="I12" i="8"/>
  <c r="H12" i="8"/>
  <c r="G12" i="8"/>
  <c r="F12" i="8"/>
  <c r="E12" i="8"/>
  <c r="D12" i="8"/>
  <c r="C12" i="8"/>
  <c r="B12" i="8"/>
  <c r="G20" i="7"/>
  <c r="F20" i="7"/>
  <c r="F19" i="7"/>
  <c r="L18" i="7"/>
  <c r="E5" i="12" s="1"/>
  <c r="K18" i="7"/>
  <c r="K21" i="7" s="1"/>
  <c r="J18" i="7"/>
  <c r="J21" i="7" s="1"/>
  <c r="I18" i="7"/>
  <c r="I21" i="7" s="1"/>
  <c r="H18" i="7"/>
  <c r="H21" i="7" s="1"/>
  <c r="G18" i="7"/>
  <c r="G21" i="7" s="1"/>
  <c r="F18" i="7"/>
  <c r="F21" i="7" s="1"/>
  <c r="E18" i="7"/>
  <c r="E21" i="7" s="1"/>
  <c r="D18" i="7"/>
  <c r="D21" i="7" s="1"/>
  <c r="C18" i="7"/>
  <c r="C21" i="7" s="1"/>
  <c r="B18" i="7"/>
  <c r="B21" i="7" s="1"/>
  <c r="L17" i="7"/>
  <c r="C5" i="12" s="1"/>
  <c r="K17" i="7"/>
  <c r="K20" i="7" s="1"/>
  <c r="J17" i="7"/>
  <c r="J20" i="7" s="1"/>
  <c r="I17" i="7"/>
  <c r="I20" i="7" s="1"/>
  <c r="H17" i="7"/>
  <c r="H20" i="7" s="1"/>
  <c r="G17" i="7"/>
  <c r="F17" i="7"/>
  <c r="E17" i="7"/>
  <c r="E20" i="7" s="1"/>
  <c r="D17" i="7"/>
  <c r="D20" i="7" s="1"/>
  <c r="C17" i="7"/>
  <c r="C20" i="7" s="1"/>
  <c r="B17" i="7"/>
  <c r="B20" i="7" s="1"/>
  <c r="D16" i="7"/>
  <c r="D19" i="7" s="1"/>
  <c r="L12" i="7"/>
  <c r="K12" i="7"/>
  <c r="J12" i="7"/>
  <c r="I12" i="7"/>
  <c r="H12" i="7"/>
  <c r="G12" i="7"/>
  <c r="F12" i="7"/>
  <c r="E12" i="7"/>
  <c r="D12" i="7"/>
  <c r="C12" i="7"/>
  <c r="B12" i="7"/>
  <c r="L9" i="7"/>
  <c r="L16" i="7" s="1"/>
  <c r="B5" i="12" s="1"/>
  <c r="K9" i="7"/>
  <c r="K16" i="7" s="1"/>
  <c r="K19" i="7" s="1"/>
  <c r="J9" i="7"/>
  <c r="J16" i="7" s="1"/>
  <c r="J19" i="7" s="1"/>
  <c r="I9" i="7"/>
  <c r="I16" i="7" s="1"/>
  <c r="I19" i="7" s="1"/>
  <c r="H9" i="7"/>
  <c r="H16" i="7" s="1"/>
  <c r="H19" i="7" s="1"/>
  <c r="G9" i="7"/>
  <c r="G16" i="7" s="1"/>
  <c r="G19" i="7" s="1"/>
  <c r="F9" i="7"/>
  <c r="F16" i="7" s="1"/>
  <c r="E9" i="7"/>
  <c r="E16" i="7" s="1"/>
  <c r="E19" i="7" s="1"/>
  <c r="D9" i="7"/>
  <c r="C9" i="7"/>
  <c r="C16" i="7" s="1"/>
  <c r="C19" i="7" s="1"/>
  <c r="B9" i="7"/>
  <c r="B16" i="7" s="1"/>
  <c r="B19" i="7" s="1"/>
  <c r="N184" i="6"/>
  <c r="G184" i="6"/>
  <c r="N183" i="6"/>
  <c r="G183" i="6"/>
  <c r="N182" i="6"/>
  <c r="G182" i="6"/>
  <c r="N181" i="6"/>
  <c r="G181" i="6"/>
  <c r="N180" i="6"/>
  <c r="G180" i="6"/>
  <c r="N179" i="6"/>
  <c r="G179" i="6"/>
  <c r="N178" i="6"/>
  <c r="G178" i="6"/>
  <c r="N177" i="6"/>
  <c r="G177" i="6"/>
  <c r="N176" i="6"/>
  <c r="G176" i="6"/>
  <c r="N175" i="6"/>
  <c r="G175" i="6"/>
  <c r="N174" i="6"/>
  <c r="G174" i="6"/>
  <c r="N173" i="6"/>
  <c r="G173" i="6"/>
  <c r="N172" i="6"/>
  <c r="G172" i="6"/>
  <c r="N171" i="6"/>
  <c r="G171" i="6"/>
  <c r="N170" i="6"/>
  <c r="G170" i="6"/>
  <c r="N169" i="6"/>
  <c r="G169" i="6"/>
  <c r="N168" i="6"/>
  <c r="G168" i="6"/>
  <c r="N167" i="6"/>
  <c r="G167" i="6"/>
  <c r="N166" i="6"/>
  <c r="G166" i="6"/>
  <c r="N165" i="6"/>
  <c r="G165" i="6"/>
  <c r="N164" i="6"/>
  <c r="G164" i="6"/>
  <c r="N163" i="6"/>
  <c r="G163" i="6"/>
  <c r="N162" i="6"/>
  <c r="G162" i="6"/>
  <c r="N161" i="6"/>
  <c r="G161" i="6"/>
  <c r="N160" i="6"/>
  <c r="G160" i="6"/>
  <c r="N159" i="6"/>
  <c r="G159" i="6"/>
  <c r="N158" i="6"/>
  <c r="G158" i="6"/>
  <c r="N157" i="6"/>
  <c r="G157" i="6"/>
  <c r="N156" i="6"/>
  <c r="G156" i="6"/>
  <c r="N155" i="6"/>
  <c r="G155" i="6"/>
  <c r="N154" i="6"/>
  <c r="G154" i="6"/>
  <c r="N153" i="6"/>
  <c r="G153" i="6"/>
  <c r="N152" i="6"/>
  <c r="G152" i="6"/>
  <c r="N151" i="6"/>
  <c r="G151" i="6"/>
  <c r="N150" i="6"/>
  <c r="G150" i="6"/>
  <c r="N149" i="6"/>
  <c r="G149" i="6"/>
  <c r="N148" i="6"/>
  <c r="G148" i="6"/>
  <c r="N147" i="6"/>
  <c r="G147" i="6"/>
  <c r="N146" i="6"/>
  <c r="G146" i="6"/>
  <c r="N145" i="6"/>
  <c r="G145" i="6"/>
  <c r="N144" i="6"/>
  <c r="G144" i="6"/>
  <c r="N143" i="6"/>
  <c r="G143" i="6"/>
  <c r="N142" i="6"/>
  <c r="G142" i="6"/>
  <c r="N141" i="6"/>
  <c r="G141" i="6"/>
  <c r="N140" i="6"/>
  <c r="G140" i="6"/>
  <c r="N139" i="6"/>
  <c r="G139" i="6"/>
  <c r="N138" i="6"/>
  <c r="G138" i="6"/>
  <c r="N137" i="6"/>
  <c r="G137" i="6"/>
  <c r="N136" i="6"/>
  <c r="G136" i="6"/>
  <c r="N135" i="6"/>
  <c r="G135" i="6"/>
  <c r="N134" i="6"/>
  <c r="G134" i="6"/>
  <c r="N133" i="6"/>
  <c r="G133" i="6"/>
  <c r="N132" i="6"/>
  <c r="G132" i="6"/>
  <c r="N131" i="6"/>
  <c r="G131" i="6"/>
  <c r="N130" i="6"/>
  <c r="G130" i="6"/>
  <c r="N129" i="6"/>
  <c r="G129" i="6"/>
  <c r="N128" i="6"/>
  <c r="G128" i="6"/>
  <c r="N127" i="6"/>
  <c r="G127" i="6"/>
  <c r="N126" i="6"/>
  <c r="G126" i="6"/>
  <c r="N125" i="6"/>
  <c r="G125" i="6"/>
  <c r="N124" i="6"/>
  <c r="G124" i="6"/>
  <c r="N123" i="6"/>
  <c r="G123" i="6"/>
  <c r="N122" i="6"/>
  <c r="G122" i="6"/>
  <c r="N121" i="6"/>
  <c r="G121" i="6"/>
  <c r="N120" i="6"/>
  <c r="G120" i="6"/>
  <c r="N119" i="6"/>
  <c r="G119" i="6"/>
  <c r="N118" i="6"/>
  <c r="G118" i="6"/>
  <c r="N117" i="6"/>
  <c r="G117" i="6"/>
  <c r="N116" i="6"/>
  <c r="G116" i="6"/>
  <c r="N115" i="6"/>
  <c r="G115" i="6"/>
  <c r="N114" i="6"/>
  <c r="G114" i="6"/>
  <c r="N113" i="6"/>
  <c r="G113" i="6"/>
  <c r="N112" i="6"/>
  <c r="G112" i="6"/>
  <c r="N111" i="6"/>
  <c r="G111" i="6"/>
  <c r="N110" i="6"/>
  <c r="G110" i="6"/>
  <c r="N109" i="6"/>
  <c r="G109" i="6"/>
  <c r="N108" i="6"/>
  <c r="G108" i="6"/>
  <c r="N107" i="6"/>
  <c r="G107" i="6"/>
  <c r="N106" i="6"/>
  <c r="G106" i="6"/>
  <c r="N105" i="6"/>
  <c r="G105" i="6"/>
  <c r="N104" i="6"/>
  <c r="G104" i="6"/>
  <c r="N103" i="6"/>
  <c r="G103" i="6"/>
  <c r="N102" i="6"/>
  <c r="G102" i="6"/>
  <c r="N101" i="6"/>
  <c r="G101" i="6"/>
  <c r="N100" i="6"/>
  <c r="G100" i="6"/>
  <c r="N99" i="6"/>
  <c r="G99" i="6"/>
  <c r="N98" i="6"/>
  <c r="G98" i="6"/>
  <c r="N97" i="6"/>
  <c r="G97" i="6"/>
  <c r="N96" i="6"/>
  <c r="G96" i="6"/>
  <c r="N95" i="6"/>
  <c r="G95" i="6"/>
  <c r="N94" i="6"/>
  <c r="G94" i="6"/>
  <c r="N93" i="6"/>
  <c r="G93" i="6"/>
  <c r="N92" i="6"/>
  <c r="G92" i="6"/>
  <c r="N91" i="6"/>
  <c r="G91" i="6"/>
  <c r="N90" i="6"/>
  <c r="G90" i="6"/>
  <c r="N89" i="6"/>
  <c r="G89" i="6"/>
  <c r="N88" i="6"/>
  <c r="G88" i="6"/>
  <c r="N87" i="6"/>
  <c r="G87" i="6"/>
  <c r="N86" i="6"/>
  <c r="G86" i="6"/>
  <c r="N85" i="6"/>
  <c r="G85" i="6"/>
  <c r="N84" i="6"/>
  <c r="G84" i="6"/>
  <c r="N83" i="6"/>
  <c r="G83" i="6"/>
  <c r="N82" i="6"/>
  <c r="G82" i="6"/>
  <c r="N81" i="6"/>
  <c r="G81" i="6"/>
  <c r="N80" i="6"/>
  <c r="G80" i="6"/>
  <c r="N79" i="6"/>
  <c r="G79" i="6"/>
  <c r="N78" i="6"/>
  <c r="G78" i="6"/>
  <c r="N77" i="6"/>
  <c r="G77" i="6"/>
  <c r="N76" i="6"/>
  <c r="G76" i="6"/>
  <c r="N75" i="6"/>
  <c r="G75" i="6"/>
  <c r="N74" i="6"/>
  <c r="G74" i="6"/>
  <c r="N73" i="6"/>
  <c r="G73" i="6"/>
  <c r="N72" i="6"/>
  <c r="G72" i="6"/>
  <c r="N71" i="6"/>
  <c r="G71" i="6"/>
  <c r="N70" i="6"/>
  <c r="G70" i="6"/>
  <c r="N69" i="6"/>
  <c r="G69" i="6"/>
  <c r="N68" i="6"/>
  <c r="G68" i="6"/>
  <c r="N67" i="6"/>
  <c r="G67" i="6"/>
  <c r="N66" i="6"/>
  <c r="G66" i="6"/>
  <c r="N65" i="6"/>
  <c r="G65" i="6"/>
  <c r="N64" i="6"/>
  <c r="G64" i="6"/>
  <c r="N63" i="6"/>
  <c r="G63" i="6"/>
  <c r="N62" i="6"/>
  <c r="G62" i="6"/>
  <c r="N61" i="6"/>
  <c r="G61" i="6"/>
  <c r="N60" i="6"/>
  <c r="G60" i="6"/>
  <c r="N59" i="6"/>
  <c r="G59" i="6"/>
  <c r="N58" i="6"/>
  <c r="G58" i="6"/>
  <c r="N57" i="6"/>
  <c r="G57" i="6"/>
  <c r="N56" i="6"/>
  <c r="G56" i="6"/>
  <c r="N55" i="6"/>
  <c r="G55" i="6"/>
  <c r="N54" i="6"/>
  <c r="G54" i="6"/>
  <c r="N53" i="6"/>
  <c r="G53" i="6"/>
  <c r="N52" i="6"/>
  <c r="G52" i="6"/>
  <c r="N51" i="6"/>
  <c r="G51" i="6"/>
  <c r="N50" i="6"/>
  <c r="G50" i="6"/>
  <c r="N49" i="6"/>
  <c r="G49" i="6"/>
  <c r="N48" i="6"/>
  <c r="G48" i="6"/>
  <c r="N47" i="6"/>
  <c r="G47" i="6"/>
  <c r="N46" i="6"/>
  <c r="G46" i="6"/>
  <c r="N45" i="6"/>
  <c r="G45" i="6"/>
  <c r="N44" i="6"/>
  <c r="G44" i="6"/>
  <c r="N43" i="6"/>
  <c r="G43" i="6"/>
  <c r="N42" i="6"/>
  <c r="G42" i="6"/>
  <c r="N41" i="6"/>
  <c r="G41" i="6"/>
  <c r="N40" i="6"/>
  <c r="G40" i="6"/>
  <c r="N39" i="6"/>
  <c r="G39" i="6"/>
  <c r="N38" i="6"/>
  <c r="G38" i="6"/>
  <c r="N37" i="6"/>
  <c r="G37" i="6"/>
  <c r="N36" i="6"/>
  <c r="G36" i="6"/>
  <c r="N35" i="6"/>
  <c r="G35" i="6"/>
  <c r="N34" i="6"/>
  <c r="G34" i="6"/>
  <c r="N33" i="6"/>
  <c r="G33" i="6"/>
  <c r="N32" i="6"/>
  <c r="G32" i="6"/>
  <c r="N31" i="6"/>
  <c r="G31" i="6"/>
  <c r="N30" i="6"/>
  <c r="G30" i="6"/>
  <c r="N29" i="6"/>
  <c r="G29" i="6"/>
  <c r="N28" i="6"/>
  <c r="G28" i="6"/>
  <c r="N27" i="6"/>
  <c r="G27" i="6"/>
  <c r="N26" i="6"/>
  <c r="G26" i="6"/>
  <c r="N25" i="6"/>
  <c r="G25" i="6"/>
  <c r="N24" i="6"/>
  <c r="G24" i="6"/>
  <c r="N23" i="6"/>
  <c r="G23" i="6"/>
  <c r="N22" i="6"/>
  <c r="G22" i="6"/>
  <c r="N21" i="6"/>
  <c r="G21" i="6"/>
  <c r="N20" i="6"/>
  <c r="G20" i="6"/>
  <c r="N19" i="6"/>
  <c r="G19" i="6"/>
  <c r="N18" i="6"/>
  <c r="G18" i="6"/>
  <c r="N17" i="6"/>
  <c r="G17" i="6"/>
  <c r="N16" i="6"/>
  <c r="G16" i="6"/>
  <c r="N15" i="6"/>
  <c r="G15" i="6"/>
  <c r="N14" i="6"/>
  <c r="G14" i="6"/>
  <c r="N13" i="6"/>
  <c r="G13" i="6"/>
  <c r="N12" i="6"/>
  <c r="G12" i="6"/>
  <c r="N11" i="6"/>
  <c r="G11" i="6"/>
  <c r="N10" i="6"/>
  <c r="G10" i="6"/>
  <c r="N9" i="6"/>
  <c r="G9" i="6"/>
  <c r="N8" i="6"/>
  <c r="G8" i="6"/>
  <c r="N7" i="6"/>
  <c r="G7" i="6"/>
  <c r="N6" i="6"/>
  <c r="G6" i="6"/>
  <c r="N5" i="6"/>
  <c r="G5" i="6"/>
  <c r="G31" i="5"/>
  <c r="G29" i="5"/>
  <c r="L24" i="5"/>
  <c r="K24" i="5"/>
  <c r="J24" i="5"/>
  <c r="I24" i="5"/>
  <c r="H24" i="5"/>
  <c r="G24" i="5"/>
  <c r="F24" i="5"/>
  <c r="E24" i="5"/>
  <c r="D24" i="5"/>
  <c r="C24" i="5"/>
  <c r="B24" i="5"/>
  <c r="L23" i="5"/>
  <c r="K23" i="5"/>
  <c r="J23" i="5"/>
  <c r="I23" i="5"/>
  <c r="H23" i="5"/>
  <c r="G23" i="5"/>
  <c r="F23" i="5"/>
  <c r="E23" i="5"/>
  <c r="D23" i="5"/>
  <c r="C23" i="5"/>
  <c r="B23" i="5"/>
  <c r="L22" i="5"/>
  <c r="K22" i="5"/>
  <c r="J22" i="5"/>
  <c r="I22" i="5"/>
  <c r="H22" i="5"/>
  <c r="G22" i="5"/>
  <c r="F22" i="5"/>
  <c r="E22" i="5"/>
  <c r="D22" i="5"/>
  <c r="C22" i="5"/>
  <c r="B22" i="5"/>
  <c r="L21" i="5"/>
  <c r="K21" i="5"/>
  <c r="J21" i="5"/>
  <c r="I21" i="5"/>
  <c r="H21" i="5"/>
  <c r="G21" i="5"/>
  <c r="F21" i="5"/>
  <c r="E21" i="5"/>
  <c r="D21" i="5"/>
  <c r="C21" i="5"/>
  <c r="B21" i="5"/>
  <c r="L20" i="5"/>
  <c r="K20" i="5"/>
  <c r="J20" i="5"/>
  <c r="I20" i="5"/>
  <c r="H20" i="5"/>
  <c r="G20" i="5"/>
  <c r="F20" i="5"/>
  <c r="E20" i="5"/>
  <c r="D20" i="5"/>
  <c r="C20" i="5"/>
  <c r="B2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I19" i="4"/>
  <c r="G19" i="4"/>
  <c r="H19" i="4" s="1"/>
  <c r="I18" i="4"/>
  <c r="E31" i="5" s="1"/>
  <c r="G18" i="4"/>
  <c r="H18" i="4" s="1"/>
  <c r="I17" i="4"/>
  <c r="C31" i="5" s="1"/>
  <c r="H17" i="4"/>
  <c r="I16" i="4"/>
  <c r="G30" i="5" s="1"/>
  <c r="H16" i="4"/>
  <c r="G16" i="4"/>
  <c r="I15" i="4"/>
  <c r="E30" i="5" s="1"/>
  <c r="G15" i="4"/>
  <c r="H15" i="4" s="1"/>
  <c r="I14" i="4"/>
  <c r="C30" i="5" s="1"/>
  <c r="H14" i="4"/>
  <c r="I13" i="4"/>
  <c r="G13" i="4"/>
  <c r="H13" i="4" s="1"/>
  <c r="I12" i="4"/>
  <c r="E29" i="5" s="1"/>
  <c r="G12" i="4"/>
  <c r="H12" i="4" s="1"/>
  <c r="I11" i="4"/>
  <c r="C29" i="5" s="1"/>
  <c r="H11" i="4"/>
  <c r="I10" i="4"/>
  <c r="G28" i="5" s="1"/>
  <c r="G10" i="4"/>
  <c r="H10" i="4" s="1"/>
  <c r="I9" i="4"/>
  <c r="E28" i="5" s="1"/>
  <c r="G9" i="4"/>
  <c r="H9" i="4" s="1"/>
  <c r="I8" i="4"/>
  <c r="C28" i="5" s="1"/>
  <c r="H8" i="4"/>
  <c r="I7" i="4"/>
  <c r="G27" i="5" s="1"/>
  <c r="G7" i="4"/>
  <c r="H7" i="4" s="1"/>
  <c r="I6" i="4"/>
  <c r="E27" i="5" s="1"/>
  <c r="G6" i="4"/>
  <c r="H6" i="4" s="1"/>
  <c r="I5" i="4"/>
  <c r="C27" i="5" s="1"/>
  <c r="H5" i="4"/>
  <c r="L10" i="3"/>
  <c r="K10" i="3"/>
  <c r="J10" i="3"/>
  <c r="M10" i="3" s="1"/>
  <c r="H10" i="3"/>
  <c r="I10" i="3" s="1"/>
  <c r="G10" i="3"/>
  <c r="F10" i="3"/>
  <c r="D10" i="3"/>
  <c r="C10" i="3"/>
  <c r="B10" i="3"/>
  <c r="E10" i="3" s="1"/>
  <c r="M9" i="3"/>
  <c r="I9" i="3"/>
  <c r="E9" i="3"/>
  <c r="M8" i="3"/>
  <c r="I8" i="3"/>
  <c r="E8" i="3"/>
  <c r="M7" i="3"/>
  <c r="I7" i="3"/>
  <c r="E7" i="3"/>
  <c r="M6" i="3"/>
  <c r="I6" i="3"/>
  <c r="E6" i="3"/>
  <c r="M5" i="3"/>
  <c r="I5" i="3"/>
  <c r="E5" i="3"/>
  <c r="J10" i="2"/>
  <c r="I10" i="2"/>
  <c r="H10" i="2"/>
  <c r="F10" i="2"/>
  <c r="D10" i="2"/>
  <c r="C10" i="2"/>
  <c r="B10" i="2"/>
  <c r="M9" i="2"/>
  <c r="L9" i="2"/>
  <c r="G9" i="2"/>
  <c r="M8" i="2"/>
  <c r="L8" i="2"/>
  <c r="G8" i="2"/>
  <c r="M7" i="2"/>
  <c r="L7" i="2"/>
  <c r="G7" i="2"/>
  <c r="M6" i="2"/>
  <c r="L6" i="2"/>
  <c r="G6" i="2"/>
  <c r="M5" i="2"/>
  <c r="L5" i="2"/>
  <c r="G5" i="2"/>
  <c r="B8" i="12" l="1"/>
  <c r="G8" i="12" s="1"/>
  <c r="L20" i="7"/>
  <c r="F10" i="12"/>
  <c r="D8" i="12"/>
  <c r="I8" i="12" s="1"/>
  <c r="L10" i="2"/>
  <c r="L20" i="8"/>
  <c r="H6" i="12"/>
  <c r="M10" i="2"/>
  <c r="I6" i="12"/>
  <c r="E7" i="12"/>
  <c r="L19" i="7"/>
  <c r="F24" i="9"/>
  <c r="G9" i="12"/>
  <c r="G5" i="12"/>
  <c r="L21" i="7"/>
  <c r="E9" i="12"/>
  <c r="E10" i="12" s="1"/>
  <c r="L23" i="8"/>
  <c r="L22" i="8"/>
  <c r="D9" i="12"/>
  <c r="I9" i="12" s="1"/>
  <c r="D19" i="10"/>
  <c r="H5" i="12"/>
  <c r="D7" i="12"/>
  <c r="I7" i="12" s="1"/>
  <c r="D25" i="11"/>
  <c r="B6" i="12"/>
  <c r="G6" i="12" s="1"/>
  <c r="D20" i="10"/>
  <c r="C9" i="12"/>
  <c r="H9" i="12" s="1"/>
  <c r="C10" i="12" l="1"/>
  <c r="H10" i="12" s="1"/>
  <c r="B10" i="12"/>
  <c r="G10" i="12" s="1"/>
  <c r="D10" i="12"/>
  <c r="I10" i="12" s="1"/>
</calcChain>
</file>

<file path=xl/sharedStrings.xml><?xml version="1.0" encoding="utf-8"?>
<sst xmlns="http://schemas.openxmlformats.org/spreadsheetml/2006/main" count="533" uniqueCount="396">
  <si>
    <t>Capex Cloud — Hyperscaler Capex Consensus, Street High &amp; PP&amp;E Breakdown</t>
  </si>
  <si>
    <t>Built 2026-06-11. BBG data pulled 2026-06-11 11:38 via Capstone wrapper (http://10.10.60.104/api/). All $ in millions unless noted.</t>
  </si>
  <si>
    <t>TABS:</t>
  </si>
  <si>
    <t xml:space="preserve">  Fwd Windows    — BEst capex, next-12m (1BF) and months 12-24 (2BF) blended-forward windows + cumulative 24m.</t>
  </si>
  <si>
    <t xml:space="preserve">  CY vs Capstone — calendar-year capex: Street consensus vs street high vs Capstone house estimates. MSFT (FY Jun) and ORCL (FY May) calendarized from calendar quarters (reported actuals + BEst kFQ quarterly consensus).</t>
  </si>
  <si>
    <t xml:space="preserve">  Fiscal Years   — FY1-FY3 consensus per company with street high/low, # estimates, YoY and capex intensity.</t>
  </si>
  <si>
    <t xml:space="preserve">  Yearly History — calendar-year capex 2015-2025 actual + 2026-27E consensus; revenue and capex/revenue intensity.</t>
  </si>
  <si>
    <t xml:space="preserve">  Revisions      — weekly BEst capex history (rolling 1BF/2BF windows) since Jan-2023, per company + Big-5 total.</t>
  </si>
  <si>
    <t xml:space="preserve">  PPE &lt;ticker&gt;   — gross property &amp; equipment by category from official filings, with Equipment vs long-term-asset split.</t>
  </si>
  <si>
    <t xml:space="preserve">  PPE Summary    — cross-company Equipment vs LT comparison, latest fiscal year.</t>
  </si>
  <si>
    <t>COLOR CODE:  blue = hardcoded source data · black = formulas · green = cross-sheet links · yellow fill = Capstone house assumptions.</t>
  </si>
  <si>
    <t>PP&amp;E SOURCES:</t>
  </si>
  <si>
    <t xml:space="preserve">  MSFT — SEC XBRL companyfacts (10-K tagged components, FY2015-25). 'Computer equipment and software' derived = gross − tagged components (not separately tagged).</t>
  </si>
  <si>
    <t xml:space="preserve">  ORCL — SEC XBRL companyfacts (10-K tagged components, FY2015-25).</t>
  </si>
  <si>
    <t xml:space="preserve">  AMZN — 10-K Note 3 (Property and Equipment), filings FY2022-FY2025. FY25 10-K introduces Servers &amp; networking / Heavy equipment / Other equipment split.</t>
  </si>
  <si>
    <t xml:space="preserve">  GOOGL — 10-K PP&amp;E note. FY24 10-K recast presentation to Technical infrastructure / Office space / Corporate &amp; other + assets not yet in service; legacy presentation kept for FY22-23. FY2024 restated by GOOGL between filings (latest filing used).</t>
  </si>
  <si>
    <t xml:space="preserve">  META — 10-K PP&amp;E note, filings FY2024-FY2025 (covers FY2023-25).</t>
  </si>
  <si>
    <t xml:space="preserve">  Sign convention: accumulated depreciation negative; capex positive.</t>
  </si>
  <si>
    <t>Consensus notes: BEST_CAPEX mean / |BEST_CAPEX_LO| = street-HIGH spend / |BEST_CAPEX_HI| = street-LOW (BBG capex is negative). Broker attribution is not exposed by the wrapper (Terminal EE/ANR).</t>
  </si>
  <si>
    <t>Forward windows — BEst capex consensus &amp; street range (US$ mn)</t>
  </si>
  <si>
    <t>Blended-forward windows roll from 2026-06-11. 1BF = next 12 months, 2BF = months 12-24. Source: Bloomberg bdp BEST_CAPEX / BEST_CAPEX_LO / BEST_CAPEX_HI / BEST_CAPEX_NUMEST / BEST_SALES, BEST_FPERIOD_OVERRIDE=1BF/2BF, pulled 2026-06-11 11:38.</t>
  </si>
  <si>
    <t>Company</t>
  </si>
  <si>
    <t>NTM mean</t>
  </si>
  <si>
    <t>NTM street high</t>
  </si>
  <si>
    <t>NTM street low</t>
  </si>
  <si>
    <t>NTM # est</t>
  </si>
  <si>
    <t>NTM BEst revenue</t>
  </si>
  <si>
    <t>NTM capex/rev</t>
  </si>
  <si>
    <t>12-24M mean</t>
  </si>
  <si>
    <t>12-24M street high</t>
  </si>
  <si>
    <t>12-24M street low</t>
  </si>
  <si>
    <t>12-24M # est</t>
  </si>
  <si>
    <t>Cum 24M mean</t>
  </si>
  <si>
    <t>Cum 24M street high</t>
  </si>
  <si>
    <t>Microsoft</t>
  </si>
  <si>
    <t>Amazon</t>
  </si>
  <si>
    <t>Alphabet</t>
  </si>
  <si>
    <t>Meta</t>
  </si>
  <si>
    <t>Oracle</t>
  </si>
  <si>
    <t>Big-5 total</t>
  </si>
  <si>
    <t>Cumulative 24M street high sums per-window highs — indicative only (analyst sets differ per window).</t>
  </si>
  <si>
    <t>Calendar-year capex — Street consensus vs street high vs Capstone (US$ mn)</t>
  </si>
  <si>
    <t>MSFT/ORCL calendarized: reported calendar quarters (actuals) + BEst quarterly consensus (kFQ) for unreported quarters; their street high sums most-aggressive quarterly estimates (composite). Dec-FY names map 1:1 to FY fields. Capstone = house estimates (Felipe, Jun-2026). CY2025 = reported actuals.</t>
  </si>
  <si>
    <t>CY2025 consensus</t>
  </si>
  <si>
    <t>CY2025 street high</t>
  </si>
  <si>
    <t>CY2025 Capstone</t>
  </si>
  <si>
    <t>CY2025 Δ Capstone</t>
  </si>
  <si>
    <t>CY2026E consensus</t>
  </si>
  <si>
    <t>CY2026E street high</t>
  </si>
  <si>
    <t>CY2026E Capstone</t>
  </si>
  <si>
    <t>CY2026E Δ Capstone</t>
  </si>
  <si>
    <t>CY2027E consensus</t>
  </si>
  <si>
    <t>CY2027E street high</t>
  </si>
  <si>
    <t>CY2027E Capstone</t>
  </si>
  <si>
    <t>CY2027E Δ Capstone</t>
  </si>
  <si>
    <t>MSFT CY2025 Capstone ($104.6bn) vs reported cash capex ($83.1bn): definition difference (e.g. finance leases).</t>
  </si>
  <si>
    <t>Fiscal years FY1-FY3 — BEst capex consensus (US$ mn)</t>
  </si>
  <si>
    <t>FY labels are company-specific (MSFT FY ends Jun, ORCL May, others Dec). ORCL FY26 just reported -&gt; its FY1 = FY27. Prior actual = last reported fiscal year (used for FY1 YoY).</t>
  </si>
  <si>
    <t>Period (FY end)</t>
  </si>
  <si>
    <t>Consensus mean</t>
  </si>
  <si>
    <t>Street high</t>
  </si>
  <si>
    <t>Street low</t>
  </si>
  <si>
    <t># est</t>
  </si>
  <si>
    <t>Prior actual / mean</t>
  </si>
  <si>
    <t>YoY (mean)</t>
  </si>
  <si>
    <t>Capex / BEst rev</t>
  </si>
  <si>
    <t>FY26 (Jun-26)</t>
  </si>
  <si>
    <t>FY27 (Jun-27)</t>
  </si>
  <si>
    <t>FY28 (Jun-28)</t>
  </si>
  <si>
    <t>FY26 (Dec-26)</t>
  </si>
  <si>
    <t>FY27 (Dec-27)</t>
  </si>
  <si>
    <t>FY28 (Dec-28)</t>
  </si>
  <si>
    <t>FY27 (May-27)</t>
  </si>
  <si>
    <t>FY28 (May-28)</t>
  </si>
  <si>
    <t>FY29 (May-29)</t>
  </si>
  <si>
    <t>Capex / BEst rev divides consensus capex by BEst revenue of the same fiscal period (revenue hardcoded in formula; source BEST_SALES).</t>
  </si>
  <si>
    <t>Calendar-year capex &amp; intensity — actuals 2015-25, consensus 2026-27E (US$ mn)</t>
  </si>
  <si>
    <t>Actuals = sum of the 4 calendar quarters (bdh CAPITAL_EXPEND / SALES_REV_TURN; fiscal-quarter ends mapped to calendar years; MSFT and ORCL therefore calendarized). 2026E/27E = CY consensus from 'CY vs Capstone' logic.</t>
  </si>
  <si>
    <t>CAPEX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</si>
  <si>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</si>
  <si>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</si>
  <si>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</si>
  <si>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</si>
  <si>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</si>
  <si>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</si>
  <si>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</si>
  <si>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</si>
  <si>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</si>
  <si>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</si>
  <si>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</si>
  <si>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2026E</t>
  </si>
  <si>
    <t>2027E</t>
  </si>
  <si>
    <t>REVENUE</t>
  </si>
  <si>
    <t>CAPEX / REVENUE</t>
  </si>
  <si>
    <t>CAPEX / REVENUE — CONSENSUS FWD</t>
  </si>
  <si>
    <t>FY1 period</t>
  </si>
  <si>
    <t>FY1</t>
  </si>
  <si>
    <t>FY2 period</t>
  </si>
  <si>
    <t>FY2</t>
  </si>
  <si>
    <t>FY3 period</t>
  </si>
  <si>
    <t>FY3</t>
  </si>
  <si>
    <t>Consensus-forward intensity = BEst capex / BEst revenue per fiscal year (links to Fiscal Years tab). Fiscal years mapped to their end-year; MSFT FY ends Jun and ORCL May, so these are indicative for the calendar grid above. Matches the dashed forward segments on the dashboard's History &amp; Forecast tab.</t>
  </si>
  <si>
    <t>Weekly BEst capex consensus — rolling forward windows (US$ mn)</t>
  </si>
  <si>
    <t>bdh BEST_CAPEX daily, downsampled W-FRI. Windows roll with the calendar; steps at earnings dates are true revisions. Source: Bloomberg, pulled 2026-06-11 11:38.</t>
  </si>
  <si>
    <t>Date</t>
  </si>
  <si>
    <t>MSFT 1BF</t>
  </si>
  <si>
    <t>AMZN 1BF</t>
  </si>
  <si>
    <t>GOOGL 1BF</t>
  </si>
  <si>
    <t>META 1BF</t>
  </si>
  <si>
    <t>ORCL 1BF</t>
  </si>
  <si>
    <t>Total 1BF</t>
  </si>
  <si>
    <t>MSFT 2BF</t>
  </si>
  <si>
    <t>AMZN 2BF</t>
  </si>
  <si>
    <t>GOOGL 2BF</t>
  </si>
  <si>
    <t>META 2BF</t>
  </si>
  <si>
    <t>ORCL 2BF</t>
  </si>
  <si>
    <t>Total 2BF</t>
  </si>
  <si>
    <t>2023-01-06</t>
  </si>
  <si>
    <t>2023-01-13</t>
  </si>
  <si>
    <t>2023-01-20</t>
  </si>
  <si>
    <t>2023-01-27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</si>
  <si>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</si>
  <si>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</si>
  <si>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</si>
  <si>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</si>
  <si>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</si>
  <si>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</si>
  <si>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</si>
  <si>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</si>
  <si>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</si>
  <si>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</si>
  <si>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</si>
  <si>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</si>
  <si>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</si>
  <si>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</si>
  <si>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</si>
  <si>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</si>
  <si>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</si>
  <si>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</si>
  <si>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</si>
  <si>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</si>
  <si>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</si>
  <si>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</si>
  <si>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</si>
  <si>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</si>
  <si>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</si>
  <si>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</si>
  <si>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</si>
  <si>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</si>
  <si>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</si>
  <si>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</si>
  <si>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</si>
  <si>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</si>
  <si>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</si>
  <si>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</si>
  <si>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</si>
  <si>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</si>
  <si>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</si>
  <si>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</si>
  <si>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</si>
  <si>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</si>
  <si>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</si>
  <si>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</si>
  <si>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</si>
  <si>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</si>
  <si>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</si>
  <si>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</si>
  <si>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</si>
  <si>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</si>
  <si>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</si>
  <si>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</si>
  <si>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</si>
  <si>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</si>
  <si>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</si>
  <si>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</si>
  <si>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</si>
  <si>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</si>
  <si>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</si>
  <si>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</si>
  <si>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</si>
  <si>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</si>
  <si>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</si>
  <si>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</si>
  <si>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</si>
  <si>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</si>
  <si>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</si>
  <si>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</si>
  <si>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</si>
  <si>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</si>
  <si>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</si>
  <si>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</si>
  <si>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</si>
  <si>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</si>
  <si>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</si>
  <si>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</si>
  <si>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</si>
  <si>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</si>
  <si>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</si>
  <si>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</si>
  <si>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</si>
  <si>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</si>
  <si>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</si>
  <si>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</si>
  <si>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</si>
  <si>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</si>
  <si>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</si>
  <si>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</si>
  <si>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</si>
  <si>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</si>
  <si>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</si>
  <si>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</si>
  <si>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</si>
  <si>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</si>
  <si>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</si>
  <si>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</si>
  <si>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</si>
  <si>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</si>
  <si>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</si>
  <si>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</si>
  <si>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</si>
  <si>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</si>
  <si>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</si>
  <si>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</si>
  <si>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</si>
  <si>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</si>
  <si>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</si>
  <si>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</si>
  <si>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</si>
  <si>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</si>
  <si>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</si>
  <si>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</si>
  <si>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</si>
  <si>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</si>
  <si>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</si>
  <si>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</si>
  <si>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</si>
  <si>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</si>
  <si>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</si>
  <si>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</si>
  <si>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</si>
  <si>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</si>
  <si>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</si>
  <si>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</si>
  <si>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</si>
  <si>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</si>
  <si>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</si>
  <si>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</si>
  <si>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</si>
  <si>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</si>
  <si>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</si>
  <si>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</si>
  <si>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</si>
  <si>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</si>
  <si>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</si>
  <si>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</si>
  <si>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</si>
  <si>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</si>
  <si>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</si>
  <si>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</si>
  <si>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</si>
  <si>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</si>
  <si>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</si>
  <si>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</si>
  <si>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</si>
  <si>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</si>
  <si>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</si>
  <si>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</si>
  <si>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</si>
  <si>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</si>
  <si>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</si>
  <si>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</si>
  <si>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</si>
  <si>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</si>
  <si>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</si>
  <si>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</si>
  <si>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</si>
  <si>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</si>
  <si>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</si>
  <si>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</si>
  <si>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</si>
  <si>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</si>
  <si>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</si>
  <si>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</si>
  <si>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</si>
  <si>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</si>
  <si>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</si>
  <si>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</si>
  <si>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</si>
  <si>
    <t>2026-04-17</t>
  </si>
  <si>
    <t>2026-04-24</t>
  </si>
  <si>
    <t>2026-05-01</t>
  </si>
  <si>
    <t>2026-05-08</t>
  </si>
  <si>
    <t>2026-05-15</t>
  </si>
  <si>
    <t>2026-05-22</t>
  </si>
  <si>
    <t>2026-05-29</t>
  </si>
  <si>
    <t>2026-06-05</t>
  </si>
  <si>
    <t>2026-06-12</t>
  </si>
  <si>
    <t>Microsoft — Property &amp; Equipment, gross by category (US$ mn)</t>
  </si>
  <si>
    <t>Source: SEC XBRL companyfacts, us-gaap tagged 10-K values, FY ends 30-Jun (https://data.sec.gov/api/xbrl/companyfacts/CIK0000789019.json). 'Computer equipment and software' is not separately tagged — derived as gross minus tagged components (formula). MSFT does not disclose CIP separately; construction in progress sits within categories.</t>
  </si>
  <si>
    <t>Category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</si>
  <si>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</si>
  <si>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</si>
  <si>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</si>
  <si>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</si>
  <si>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</si>
  <si>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</si>
  <si>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</si>
  <si>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</si>
  <si>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</si>
  <si>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</si>
  <si>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</si>
  <si>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Land</t>
  </si>
  <si>
    <t>Buildings and improvements</t>
  </si>
  <si>
    <t>Leasehold improvements</t>
  </si>
  <si>
    <t>Furniture and equipment</t>
  </si>
  <si>
    <t>Computer equipment and software (derived)</t>
  </si>
  <si>
    <t>Total gross PP&amp;E (reported)</t>
  </si>
  <si>
    <t>Accumulated depreciation</t>
  </si>
  <si>
    <t>Net PP&amp;E (calc)</t>
  </si>
  <si>
    <t>Net PP&amp;E (reported)</t>
  </si>
  <si>
    <t>EQUIPMENT vs LONG-TERM ASSETS (gross)</t>
  </si>
  <si>
    <t>Equipment (computer equip &amp; software)</t>
  </si>
  <si>
    <t>Long-term assets (land, buildings, leasehold)</t>
  </si>
  <si>
    <t>Other (furniture &amp; equipment)</t>
  </si>
  <si>
    <t>Equipment (computer equip &amp; software) % of gross</t>
  </si>
  <si>
    <t>Long-term assets (land, buildings, leasehold) % of gross</t>
  </si>
  <si>
    <t>Other (furniture &amp; equipment) % of gross</t>
  </si>
  <si>
    <t>Oracle — Property &amp; Equipment, gross by category (US$ mn)</t>
  </si>
  <si>
    <t>Source: SEC XBRL companyfacts, us-gaap tagged 10-K values, FY ends 31-May (https://data.sec.gov/api/xbrl/companyfacts/CIK0001341439.json). FY26 10-K not yet filed as of build date. 'Computer, communication equip.' = us-gaap:MachineryAndEquipmentGross (untagged before FY2018).</t>
  </si>
  <si>
    <t>Computer, communication equip.</t>
  </si>
  <si>
    <t>Construction in progress</t>
  </si>
  <si>
    <t>Furniture and fixtures</t>
  </si>
  <si>
    <t>Equipment (computer &amp; comms)</t>
  </si>
  <si>
    <t>Long-term assets (land, buildings)</t>
  </si>
  <si>
    <t>Other (furniture &amp; fixtures)</t>
  </si>
  <si>
    <t>Equipment (computer &amp; comms) % of gross</t>
  </si>
  <si>
    <t>Long-term assets (land, buildings) % of gross</t>
  </si>
  <si>
    <t>Construction in progress % of gross</t>
  </si>
  <si>
    <t>Other (furniture &amp; fixtures) % of gross</t>
  </si>
  <si>
    <t>Amazon — Property &amp; Equipment, gross by category (US$ mn)</t>
  </si>
  <si>
    <t>Source: Amazon 10-K, Note — Property and Equipment (FY22 10-K filed 2023-02-03 through FY25 10-K filed 2026-02-06, SEC EDGAR CIK 1018724). FY25 10-K introduces the Servers &amp; networking / Heavy equipment / Other equipment split (FY24 restated on that basis). Includes finance-lease assets per Amazon presentation.</t>
  </si>
  <si>
    <t>Land and buildings</t>
  </si>
  <si>
    <t>Equipment (total)</t>
  </si>
  <si>
    <t xml:space="preserve">  o/w Servers and networking</t>
  </si>
  <si>
    <t xml:space="preserve">  o/w Heavy equipment</t>
  </si>
  <si>
    <t xml:space="preserve">  o/w Other equipment</t>
  </si>
  <si>
    <t>Other assets</t>
  </si>
  <si>
    <t>Accumulated depreciation &amp; amort.</t>
  </si>
  <si>
    <t>Equipment (incl. servers &amp; networking)</t>
  </si>
  <si>
    <t>Long-term assets (land and buildings)</t>
  </si>
  <si>
    <t>Equipment (incl. servers &amp; networking) % of gross</t>
  </si>
  <si>
    <t>Long-term assets (land and buildings) % of gross</t>
  </si>
  <si>
    <t>Other assets % of gross</t>
  </si>
  <si>
    <t>FY25 servers &amp; networking equipment $172.5bn gross = 32% of gross PP&amp;E. Equipment (total) FY24/FY25 = sum of the three sub-rows (latest-filing presentation).</t>
  </si>
  <si>
    <t>Alphabet — Property &amp; Equipment, gross by category (US$ mn)</t>
  </si>
  <si>
    <t>Source: Alphabet 10-K, Note 7 — Property and Equipment (FY24 10-K filed 2025-02-05, FY25 10-K filed 2026-02-05, SEC EDGAR CIK 1652044). FY24 10-K recast the note to Technical infrastructure (servers, network equipment, data-center land &amp; buildings) / Office space / Corporate &amp; other, on an IN-SERVICE basis with 'assets not yet in service' shown separately. FY2024 restated between filings — latest filing used. NOTE: GOOGL's 'Technical infrastructure' INCLUDES data-center real estate, so Equipment here is broader than servers alone.</t>
  </si>
  <si>
    <t>Technical infrastructure</t>
  </si>
  <si>
    <t>Office space</t>
  </si>
  <si>
    <t>Corporate and other assets</t>
  </si>
  <si>
    <t>Total gross PP&amp;E (reported, in service)</t>
  </si>
  <si>
    <t>Assets not yet in service (CIP-like)</t>
  </si>
  <si>
    <t>Equipment (technical infrastructure)</t>
  </si>
  <si>
    <t>Long-term assets (office space)</t>
  </si>
  <si>
    <t>Other (corporate &amp; other)</t>
  </si>
  <si>
    <t>Equipment (technical infrastructure) % of gross</t>
  </si>
  <si>
    <t>Long-term assets (office space) % of gross</t>
  </si>
  <si>
    <t>Assets not yet in service (CIP-like) % of gross</t>
  </si>
  <si>
    <t>Other (corporate &amp; other) % of gross</t>
  </si>
  <si>
    <t>Legacy presentation (FY23 10-K, FY ends Dec): FY22/FY23 — Land and buildings 66,897/74,083 · Information technology assets 66,267/80,594 · Construction in progress 27,657/35,229 · Leasehold improvements 10,575/11,425 · Furniture and fixtures 314/472 · Gross 171,710/201,803 · Accum dep (59,042)/(67,458) · Net 112,668/134,345.</t>
  </si>
  <si>
    <t>Meta — Property &amp; Equipment, gross by category (US$ mn)</t>
  </si>
  <si>
    <t>Source: Meta 10-K, PP&amp;E note (FY24 10-K filed 2025-01-30, FY25 10-K filed 2026-01-29, SEC EDGAR CIK 1326801). Note: Meta lists the CURRENT year first in its table (handled). Finance lease ROU assets kept in Other (mixed nature).</t>
  </si>
  <si>
    <t>Buildings</t>
  </si>
  <si>
    <t>Servers and network assets</t>
  </si>
  <si>
    <t>Equipment and other</t>
  </si>
  <si>
    <t>Finance lease right-of-use assets</t>
  </si>
  <si>
    <t>Equipment (servers &amp; network assets)</t>
  </si>
  <si>
    <t>Other (equipment &amp; other, finance leases)</t>
  </si>
  <si>
    <t>Equipment (servers &amp; network assets) % of gross</t>
  </si>
  <si>
    <t>Other (equipment &amp; other, finance leases) % of gross</t>
  </si>
  <si>
    <t>PP&amp;E Summary — Equipment vs long-term assets, latest fiscal year (gross, US$ mn)</t>
  </si>
  <si>
    <t>Green = links to the per-company PPE tabs. Buckets follow each company's own disclosure (see PPE tabs for caveats — e.g. GOOGL technical infrastructure includes DC real estate; MSFT has no separate CIP line; AMZN equipment includes fulfillment/transport gear).</t>
  </si>
  <si>
    <t>Company (latest FY)</t>
  </si>
  <si>
    <t>Equipment</t>
  </si>
  <si>
    <t>LT assets (real estate)</t>
  </si>
  <si>
    <t>CIP / not in service</t>
  </si>
  <si>
    <t>Other</t>
  </si>
  <si>
    <t>Total gross</t>
  </si>
  <si>
    <t>Equipment % gross</t>
  </si>
  <si>
    <t>LT % gross</t>
  </si>
  <si>
    <t>CIP % gross</t>
  </si>
  <si>
    <t>Microsoft (FY25)</t>
  </si>
  <si>
    <t>Amazon (FY25)</t>
  </si>
  <si>
    <t>Alphabet (FY25)</t>
  </si>
  <si>
    <t>Meta (FY25)</t>
  </si>
  <si>
    <t>Oracle (FY25)</t>
  </si>
  <si>
    <t>Fiscal years differ: MSFT FY25 ends Jun-25, ORCL FY25 ends May-25, others Dec-25. MSFT Equipment is the derived computer equipment &amp; software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</si>
</sst>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0.0%;\(0.0%\);&quot;-&quot;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  <font>
      <sz val="9"/>
      <name val="Arial"/>
    </font>
    <font>
      <sz val="9"/>
      <color rgb="FF808080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FF"/>
      <name val="Arial"/>
    </font>
    <font>
      <b/>
      <sz val="10"/>
      <color rgb="FF000000"/>
      <name val="Arial"/>
    </font>
    <font>
      <sz val="10"/>
      <color rgb="FF008000"/>
      <name val="Arial"/>
    </font>
    <font>
      <b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F2A4D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/>
    <xf numFmtId="164" fontId="7" fillId="0" borderId="1" xfId="0" applyNumberFormat="1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6" fillId="3" borderId="1" xfId="0" applyFont="1" applyFill="1" applyBorder="1"/>
    <xf numFmtId="164" fontId="8" fillId="3" borderId="1" xfId="0" applyNumberFormat="1" applyFont="1" applyFill="1" applyBorder="1"/>
    <xf numFmtId="164" fontId="7" fillId="4" borderId="1" xfId="0" applyNumberFormat="1" applyFont="1" applyFill="1" applyBorder="1"/>
    <xf numFmtId="165" fontId="8" fillId="3" borderId="1" xfId="0" applyNumberFormat="1" applyFont="1" applyFill="1" applyBorder="1"/>
    <xf numFmtId="0" fontId="2" fillId="0" borderId="1" xfId="0" applyFont="1" applyBorder="1"/>
    <xf numFmtId="165" fontId="9" fillId="0" borderId="1" xfId="0" applyNumberFormat="1" applyFont="1" applyBorder="1"/>
    <xf numFmtId="164" fontId="10" fillId="3" borderId="1" xfId="0" applyNumberFormat="1" applyFont="1" applyFill="1" applyBorder="1"/>
    <xf numFmtId="164" fontId="9" fillId="0" borderId="1" xfId="0" applyNumberFormat="1" applyFont="1" applyBorder="1"/>
    <xf numFmtId="0" fontId="1" fillId="2" borderId="0" xfId="0" applyFont="1" applyFill="1"/>
    <xf numFmtId="0" fontId="4" fillId="0" borderId="0" xfId="0" applyFont="1" applyAlignment="1">
      <alignment vertical="top" wrapText="1"/>
    </xf>
    <xf numFmtId="0" fontId="0" fillId="0" borderId="0" xfId="0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/>
  </sheetViews>
  <sheetFormatPr defaultRowHeight="15" x14ac:dyDescent="0.25"/>
  <cols>
    <col min="1" max="1" width="120" customWidth="1"/>
  </cols>
  <sheetData>
    <row r="1" spans="1:1" ht="21.95" customHeight="1" x14ac:dyDescent="0.25">
      <c r="A1" s="16" t="s">
        <v>0</v>
      </c>
    </row>
    <row r="3" spans="1:1" x14ac:dyDescent="0.25">
      <c r="A3" s="1" t="s">
        <v>1</v>
      </c>
    </row>
    <row r="4" spans="1:1" x14ac:dyDescent="0.25">
      <c r="A4" s="1"/>
    </row>
    <row r="5" spans="1:1" x14ac:dyDescent="0.25">
      <c r="A5" s="1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1"/>
    </row>
    <row r="14" spans="1:1" x14ac:dyDescent="0.25">
      <c r="A14" s="1" t="s">
        <v>10</v>
      </c>
    </row>
    <row r="15" spans="1:1" x14ac:dyDescent="0.25">
      <c r="A15" s="1"/>
    </row>
    <row r="16" spans="1:1" x14ac:dyDescent="0.25">
      <c r="A16" s="1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1"/>
    </row>
    <row r="24" spans="1:1" x14ac:dyDescent="0.25">
      <c r="A24" s="1" t="s">
        <v>18</v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/>
  </sheetViews>
  <sheetFormatPr defaultRowHeight="15" x14ac:dyDescent="0.25"/>
  <cols>
    <col min="1" max="1" width="22" customWidth="1"/>
    <col min="2" max="13" width="13" customWidth="1"/>
  </cols>
  <sheetData>
    <row r="1" spans="1:13" ht="21.95" customHeight="1" x14ac:dyDescent="0.25">
      <c r="A1" s="16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26.25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</row>
    <row r="5" spans="1:13" x14ac:dyDescent="0.25">
      <c r="A5" s="4" t="s">
        <v>34</v>
      </c>
      <c r="B5" s="5">
        <v>177406</v>
      </c>
      <c r="C5" s="5">
        <v>235592</v>
      </c>
      <c r="D5" s="5">
        <v>75232</v>
      </c>
      <c r="E5" s="5">
        <v>37</v>
      </c>
      <c r="F5" s="5">
        <v>381188</v>
      </c>
      <c r="G5" s="6">
        <f>IF(F5=0,"-",B5/F5)</f>
        <v>0.4654028983073969</v>
      </c>
      <c r="H5" s="5">
        <v>200884</v>
      </c>
      <c r="I5" s="5">
        <v>274200</v>
      </c>
      <c r="J5" s="5">
        <v>124648</v>
      </c>
      <c r="K5" s="5">
        <v>28</v>
      </c>
      <c r="L5" s="7">
        <f t="shared" ref="L5:M9" si="0">B5+H5</f>
        <v>378290</v>
      </c>
      <c r="M5" s="7">
        <f t="shared" si="0"/>
        <v>509792</v>
      </c>
    </row>
    <row r="6" spans="1:13" x14ac:dyDescent="0.25">
      <c r="A6" s="4" t="s">
        <v>35</v>
      </c>
      <c r="B6" s="5">
        <v>212156</v>
      </c>
      <c r="C6" s="5">
        <v>238691</v>
      </c>
      <c r="D6" s="5">
        <v>162834</v>
      </c>
      <c r="E6" s="5">
        <v>30</v>
      </c>
      <c r="F6" s="5">
        <v>873204</v>
      </c>
      <c r="G6" s="6">
        <f>IF(F6=0,"-",B6/F6)</f>
        <v>0.24296269829272427</v>
      </c>
      <c r="H6" s="5">
        <v>231403</v>
      </c>
      <c r="I6" s="5">
        <v>312885</v>
      </c>
      <c r="J6" s="5">
        <v>159027</v>
      </c>
      <c r="K6" s="5">
        <v>25</v>
      </c>
      <c r="L6" s="7">
        <f t="shared" si="0"/>
        <v>443559</v>
      </c>
      <c r="M6" s="7">
        <f t="shared" si="0"/>
        <v>551576</v>
      </c>
    </row>
    <row r="7" spans="1:13" x14ac:dyDescent="0.25">
      <c r="A7" s="4" t="s">
        <v>36</v>
      </c>
      <c r="B7" s="5">
        <v>211122</v>
      </c>
      <c r="C7" s="5">
        <v>242370</v>
      </c>
      <c r="D7" s="5">
        <v>157857</v>
      </c>
      <c r="E7" s="5">
        <v>47</v>
      </c>
      <c r="F7" s="5">
        <v>459243</v>
      </c>
      <c r="G7" s="6">
        <f>IF(F7=0,"-",B7/F7)</f>
        <v>0.45971740451133714</v>
      </c>
      <c r="H7" s="5">
        <v>248385</v>
      </c>
      <c r="I7" s="5">
        <v>324835</v>
      </c>
      <c r="J7" s="5">
        <v>131344</v>
      </c>
      <c r="K7" s="5">
        <v>40</v>
      </c>
      <c r="L7" s="7">
        <f t="shared" si="0"/>
        <v>459507</v>
      </c>
      <c r="M7" s="7">
        <f t="shared" si="0"/>
        <v>567205</v>
      </c>
    </row>
    <row r="8" spans="1:13" x14ac:dyDescent="0.25">
      <c r="A8" s="4" t="s">
        <v>37</v>
      </c>
      <c r="B8" s="5">
        <v>146769</v>
      </c>
      <c r="C8" s="5">
        <v>170497</v>
      </c>
      <c r="D8" s="5">
        <v>114247</v>
      </c>
      <c r="E8" s="5">
        <v>42</v>
      </c>
      <c r="F8" s="5">
        <v>274626</v>
      </c>
      <c r="G8" s="6">
        <f>IF(F8=0,"-",B8/F8)</f>
        <v>0.53443228244958596</v>
      </c>
      <c r="H8" s="5">
        <v>168878</v>
      </c>
      <c r="I8" s="5">
        <v>230242</v>
      </c>
      <c r="J8" s="5">
        <v>112378</v>
      </c>
      <c r="K8" s="5">
        <v>37</v>
      </c>
      <c r="L8" s="7">
        <f t="shared" si="0"/>
        <v>315647</v>
      </c>
      <c r="M8" s="7">
        <f t="shared" si="0"/>
        <v>400739</v>
      </c>
    </row>
    <row r="9" spans="1:13" x14ac:dyDescent="0.25">
      <c r="A9" s="4" t="s">
        <v>38</v>
      </c>
      <c r="B9" s="5">
        <v>80465</v>
      </c>
      <c r="C9" s="5">
        <v>130682</v>
      </c>
      <c r="D9" s="5">
        <v>22756</v>
      </c>
      <c r="E9" s="5">
        <v>33</v>
      </c>
      <c r="F9" s="5">
        <v>90320</v>
      </c>
      <c r="G9" s="6">
        <f>IF(F9=0,"-",B9/F9)</f>
        <v>0.89088795394154119</v>
      </c>
      <c r="H9" s="5">
        <v>96629</v>
      </c>
      <c r="I9" s="5">
        <v>150047</v>
      </c>
      <c r="J9" s="5">
        <v>40942</v>
      </c>
      <c r="K9" s="5">
        <v>30</v>
      </c>
      <c r="L9" s="7">
        <f t="shared" si="0"/>
        <v>177094</v>
      </c>
      <c r="M9" s="7">
        <f t="shared" si="0"/>
        <v>280729</v>
      </c>
    </row>
    <row r="10" spans="1:13" x14ac:dyDescent="0.25">
      <c r="A10" s="8" t="s">
        <v>39</v>
      </c>
      <c r="B10" s="9">
        <f>SUM(B5:B9)</f>
        <v>827918</v>
      </c>
      <c r="C10" s="9">
        <f>SUM(C5:C9)</f>
        <v>1017832</v>
      </c>
      <c r="D10" s="9">
        <f>SUM(D5:D9)</f>
        <v>532926</v>
      </c>
      <c r="F10" s="9">
        <f>SUM(F5:F9)</f>
        <v>2078581</v>
      </c>
      <c r="H10" s="9">
        <f>SUM(H5:H9)</f>
        <v>946179</v>
      </c>
      <c r="I10" s="9">
        <f>SUM(I5:I9)</f>
        <v>1292209</v>
      </c>
      <c r="J10" s="9">
        <f>SUM(J5:J9)</f>
        <v>568339</v>
      </c>
      <c r="L10" s="9">
        <f>SUM(L5:L9)</f>
        <v>1774097</v>
      </c>
      <c r="M10" s="9">
        <f>SUM(M5:M9)</f>
        <v>2310041</v>
      </c>
    </row>
    <row r="12" spans="1:13" x14ac:dyDescent="0.25">
      <c r="A12" s="17" t="s">
        <v>40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</sheetData>
  <mergeCells count="3">
    <mergeCell ref="A2:M2"/>
    <mergeCell ref="A1:M1"/>
    <mergeCell ref="A12:M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defaultRowHeight="15" x14ac:dyDescent="0.25"/>
  <cols>
    <col min="1" max="1" width="22" customWidth="1"/>
    <col min="2" max="13" width="13" customWidth="1"/>
  </cols>
  <sheetData>
    <row r="1" spans="1:13" ht="21.95" customHeight="1" x14ac:dyDescent="0.25">
      <c r="A1" s="16" t="s">
        <v>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7" t="s">
        <v>42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26.25" x14ac:dyDescent="0.25">
      <c r="A4" s="3" t="s">
        <v>21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</row>
    <row r="5" spans="1:13" x14ac:dyDescent="0.25">
      <c r="A5" s="4" t="s">
        <v>34</v>
      </c>
      <c r="B5" s="5">
        <v>83094</v>
      </c>
      <c r="C5" s="5"/>
      <c r="D5" s="10">
        <v>104647</v>
      </c>
      <c r="E5" s="6">
        <f t="shared" ref="E5:E10" si="0">IF(B5=0,"-",D5/B5-1)</f>
        <v>0.25938094206561235</v>
      </c>
      <c r="F5" s="5">
        <v>157860</v>
      </c>
      <c r="G5" s="5">
        <v>193464</v>
      </c>
      <c r="H5" s="10">
        <v>170000</v>
      </c>
      <c r="I5" s="6">
        <f t="shared" ref="I5:I10" si="1">IF(F5=0,"-",H5/F5-1)</f>
        <v>7.6903585455466938E-2</v>
      </c>
      <c r="J5" s="5">
        <v>192476</v>
      </c>
      <c r="K5" s="5">
        <v>252257</v>
      </c>
      <c r="L5" s="10">
        <v>280000</v>
      </c>
      <c r="M5" s="6">
        <f t="shared" ref="M5:M10" si="2">IF(J5=0,"-",L5/J5-1)</f>
        <v>0.45472682308443657</v>
      </c>
    </row>
    <row r="6" spans="1:13" x14ac:dyDescent="0.25">
      <c r="A6" s="4" t="s">
        <v>35</v>
      </c>
      <c r="B6" s="5">
        <v>131819</v>
      </c>
      <c r="C6" s="5"/>
      <c r="D6" s="10">
        <v>132000</v>
      </c>
      <c r="E6" s="6">
        <f t="shared" si="0"/>
        <v>1.3730949256176572E-3</v>
      </c>
      <c r="F6" s="5">
        <v>199113</v>
      </c>
      <c r="G6" s="5">
        <v>208094</v>
      </c>
      <c r="H6" s="10">
        <v>200000</v>
      </c>
      <c r="I6" s="6">
        <f t="shared" si="1"/>
        <v>4.4547568466146714E-3</v>
      </c>
      <c r="J6" s="5">
        <v>228460</v>
      </c>
      <c r="K6" s="5">
        <v>276937</v>
      </c>
      <c r="L6" s="10">
        <v>300000</v>
      </c>
      <c r="M6" s="6">
        <f t="shared" si="2"/>
        <v>0.31314015582596522</v>
      </c>
    </row>
    <row r="7" spans="1:13" x14ac:dyDescent="0.25">
      <c r="A7" s="4" t="s">
        <v>36</v>
      </c>
      <c r="B7" s="5">
        <v>91447</v>
      </c>
      <c r="C7" s="5"/>
      <c r="D7" s="10">
        <v>91400</v>
      </c>
      <c r="E7" s="6">
        <f t="shared" si="0"/>
        <v>-5.1395890515815168E-4</v>
      </c>
      <c r="F7" s="5">
        <v>186523</v>
      </c>
      <c r="G7" s="5">
        <v>192174</v>
      </c>
      <c r="H7" s="10">
        <v>180000</v>
      </c>
      <c r="I7" s="6">
        <f t="shared" si="1"/>
        <v>-3.4971558467320363E-2</v>
      </c>
      <c r="J7" s="5">
        <v>241872</v>
      </c>
      <c r="K7" s="5">
        <v>305114</v>
      </c>
      <c r="L7" s="10">
        <v>285000</v>
      </c>
      <c r="M7" s="6">
        <f t="shared" si="2"/>
        <v>0.17830918833101816</v>
      </c>
    </row>
    <row r="8" spans="1:13" x14ac:dyDescent="0.25">
      <c r="A8" s="4" t="s">
        <v>37</v>
      </c>
      <c r="B8" s="5">
        <v>69691</v>
      </c>
      <c r="C8" s="5"/>
      <c r="D8" s="10">
        <v>72000</v>
      </c>
      <c r="E8" s="6">
        <f t="shared" si="0"/>
        <v>3.3131968259890066E-2</v>
      </c>
      <c r="F8" s="5">
        <v>134816</v>
      </c>
      <c r="G8" s="5">
        <v>145179</v>
      </c>
      <c r="H8" s="10">
        <v>125000</v>
      </c>
      <c r="I8" s="6">
        <f t="shared" si="1"/>
        <v>-7.2810348920009482E-2</v>
      </c>
      <c r="J8" s="5">
        <v>161709</v>
      </c>
      <c r="K8" s="5">
        <v>202144</v>
      </c>
      <c r="L8" s="10">
        <v>160000</v>
      </c>
      <c r="M8" s="6">
        <f t="shared" si="2"/>
        <v>-1.0568366633891713E-2</v>
      </c>
    </row>
    <row r="9" spans="1:13" x14ac:dyDescent="0.25">
      <c r="A9" s="4" t="s">
        <v>38</v>
      </c>
      <c r="B9" s="5">
        <v>35477</v>
      </c>
      <c r="C9" s="5"/>
      <c r="D9" s="10">
        <v>33102</v>
      </c>
      <c r="E9" s="6">
        <f t="shared" si="0"/>
        <v>-6.6944781125799824E-2</v>
      </c>
      <c r="F9" s="5">
        <v>71090</v>
      </c>
      <c r="G9" s="5">
        <v>85128</v>
      </c>
      <c r="H9" s="10">
        <v>92000</v>
      </c>
      <c r="I9" s="6">
        <f t="shared" si="1"/>
        <v>0.29413419608946412</v>
      </c>
      <c r="J9" s="5">
        <v>89907</v>
      </c>
      <c r="K9" s="5">
        <v>150593</v>
      </c>
      <c r="L9" s="10">
        <v>150000</v>
      </c>
      <c r="M9" s="6">
        <f t="shared" si="2"/>
        <v>0.66839067035937139</v>
      </c>
    </row>
    <row r="10" spans="1:13" x14ac:dyDescent="0.25">
      <c r="A10" s="8" t="s">
        <v>39</v>
      </c>
      <c r="B10" s="9">
        <f>SUM(B5:B9)</f>
        <v>411528</v>
      </c>
      <c r="C10" s="9">
        <f>SUM(C5:C9)</f>
        <v>0</v>
      </c>
      <c r="D10" s="9">
        <f>SUM(D5:D9)</f>
        <v>433149</v>
      </c>
      <c r="E10" s="11">
        <f t="shared" si="0"/>
        <v>5.2538344899982548E-2</v>
      </c>
      <c r="F10" s="9">
        <f>SUM(F5:F9)</f>
        <v>749402</v>
      </c>
      <c r="G10" s="9">
        <f>SUM(G5:G9)</f>
        <v>824039</v>
      </c>
      <c r="H10" s="9">
        <f>SUM(H5:H9)</f>
        <v>767000</v>
      </c>
      <c r="I10" s="11">
        <f t="shared" si="1"/>
        <v>2.3482723558250429E-2</v>
      </c>
      <c r="J10" s="9">
        <f>SUM(J5:J9)</f>
        <v>914424</v>
      </c>
      <c r="K10" s="9">
        <f>SUM(K5:K9)</f>
        <v>1187045</v>
      </c>
      <c r="L10" s="9">
        <f>SUM(L5:L9)</f>
        <v>1175000</v>
      </c>
      <c r="M10" s="11">
        <f t="shared" si="2"/>
        <v>0.28496189951269879</v>
      </c>
    </row>
    <row r="12" spans="1:13" x14ac:dyDescent="0.25">
      <c r="A12" s="17" t="s">
        <v>55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</sheetData>
  <mergeCells count="3">
    <mergeCell ref="A2:M2"/>
    <mergeCell ref="A1:M1"/>
    <mergeCell ref="A12:M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5" x14ac:dyDescent="0.25"/>
  <cols>
    <col min="1" max="1" width="22" customWidth="1"/>
    <col min="2" max="2" width="16" customWidth="1"/>
    <col min="3" max="9" width="13" customWidth="1"/>
  </cols>
  <sheetData>
    <row r="1" spans="1:9" ht="21.95" customHeight="1" x14ac:dyDescent="0.25">
      <c r="A1" s="16" t="s">
        <v>56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7" t="s">
        <v>57</v>
      </c>
      <c r="B2" s="18"/>
      <c r="C2" s="18"/>
      <c r="D2" s="18"/>
      <c r="E2" s="18"/>
      <c r="F2" s="18"/>
      <c r="G2" s="18"/>
      <c r="H2" s="18"/>
      <c r="I2" s="18"/>
    </row>
    <row r="4" spans="1:9" ht="26.25" x14ac:dyDescent="0.25">
      <c r="A4" s="3" t="s">
        <v>21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</row>
    <row r="5" spans="1:9" x14ac:dyDescent="0.25">
      <c r="A5" s="4" t="s">
        <v>34</v>
      </c>
      <c r="B5" s="12" t="s">
        <v>66</v>
      </c>
      <c r="C5" s="5">
        <v>116904</v>
      </c>
      <c r="D5" s="5">
        <v>151494</v>
      </c>
      <c r="E5" s="5">
        <v>71561</v>
      </c>
      <c r="F5" s="5">
        <v>37</v>
      </c>
      <c r="G5" s="5">
        <v>64551</v>
      </c>
      <c r="H5" s="6">
        <f t="shared" ref="H5:H19" si="0">IF(G5=0,"-",C5/G5-1)</f>
        <v>0.81103313658967324</v>
      </c>
      <c r="I5" s="6">
        <f>C5/329468</f>
        <v>0.35482656889288183</v>
      </c>
    </row>
    <row r="6" spans="1:9" x14ac:dyDescent="0.25">
      <c r="A6" s="4"/>
      <c r="B6" s="12" t="s">
        <v>67</v>
      </c>
      <c r="C6" s="5">
        <v>180578</v>
      </c>
      <c r="D6" s="5">
        <v>240000</v>
      </c>
      <c r="E6" s="5">
        <v>75424</v>
      </c>
      <c r="F6" s="5">
        <v>37</v>
      </c>
      <c r="G6" s="7">
        <f>C5</f>
        <v>116904</v>
      </c>
      <c r="H6" s="6">
        <f t="shared" si="0"/>
        <v>0.54466913022651053</v>
      </c>
      <c r="I6" s="6">
        <f>C6/384028</f>
        <v>0.47022092139114857</v>
      </c>
    </row>
    <row r="7" spans="1:9" x14ac:dyDescent="0.25">
      <c r="A7" s="4"/>
      <c r="B7" s="12" t="s">
        <v>68</v>
      </c>
      <c r="C7" s="5">
        <v>201953</v>
      </c>
      <c r="D7" s="5">
        <v>276000</v>
      </c>
      <c r="E7" s="5">
        <v>127239</v>
      </c>
      <c r="F7" s="5">
        <v>28</v>
      </c>
      <c r="G7" s="7">
        <f>C6</f>
        <v>180578</v>
      </c>
      <c r="H7" s="6">
        <f t="shared" si="0"/>
        <v>0.1183699010953716</v>
      </c>
      <c r="I7" s="6">
        <f>C7/452637</f>
        <v>0.44616988889551673</v>
      </c>
    </row>
    <row r="8" spans="1:9" x14ac:dyDescent="0.25">
      <c r="A8" s="4" t="s">
        <v>35</v>
      </c>
      <c r="B8" s="12" t="s">
        <v>69</v>
      </c>
      <c r="C8" s="5">
        <v>199113</v>
      </c>
      <c r="D8" s="5">
        <v>208094</v>
      </c>
      <c r="E8" s="5">
        <v>163470</v>
      </c>
      <c r="F8" s="5">
        <v>30</v>
      </c>
      <c r="G8" s="5">
        <v>131819</v>
      </c>
      <c r="H8" s="6">
        <f t="shared" si="0"/>
        <v>0.51050303825700394</v>
      </c>
      <c r="I8" s="6">
        <f>C8/824999</f>
        <v>0.24134938345379814</v>
      </c>
    </row>
    <row r="9" spans="1:9" x14ac:dyDescent="0.25">
      <c r="A9" s="4"/>
      <c r="B9" s="12" t="s">
        <v>70</v>
      </c>
      <c r="C9" s="5">
        <v>228460</v>
      </c>
      <c r="D9" s="5">
        <v>276937</v>
      </c>
      <c r="E9" s="5">
        <v>162039</v>
      </c>
      <c r="F9" s="5">
        <v>30</v>
      </c>
      <c r="G9" s="7">
        <f>C8</f>
        <v>199113</v>
      </c>
      <c r="H9" s="6">
        <f t="shared" si="0"/>
        <v>0.14738866874588807</v>
      </c>
      <c r="I9" s="6">
        <f>C9/933608</f>
        <v>0.24470655778442343</v>
      </c>
    </row>
    <row r="10" spans="1:9" x14ac:dyDescent="0.25">
      <c r="A10" s="4"/>
      <c r="B10" s="12" t="s">
        <v>71</v>
      </c>
      <c r="C10" s="5">
        <v>235113</v>
      </c>
      <c r="D10" s="5">
        <v>358211</v>
      </c>
      <c r="E10" s="5">
        <v>155229</v>
      </c>
      <c r="F10" s="5">
        <v>19</v>
      </c>
      <c r="G10" s="7">
        <f>C9</f>
        <v>228460</v>
      </c>
      <c r="H10" s="6">
        <f t="shared" si="0"/>
        <v>2.9121071522367092E-2</v>
      </c>
      <c r="I10" s="6">
        <f>C10/1035309</f>
        <v>0.22709451960718974</v>
      </c>
    </row>
    <row r="11" spans="1:9" x14ac:dyDescent="0.25">
      <c r="A11" s="4" t="s">
        <v>36</v>
      </c>
      <c r="B11" s="12" t="s">
        <v>69</v>
      </c>
      <c r="C11" s="5">
        <v>186523</v>
      </c>
      <c r="D11" s="5">
        <v>192174</v>
      </c>
      <c r="E11" s="5">
        <v>179674</v>
      </c>
      <c r="F11" s="5">
        <v>48</v>
      </c>
      <c r="G11" s="5">
        <v>91447</v>
      </c>
      <c r="H11" s="6">
        <f t="shared" si="0"/>
        <v>1.0396841886557242</v>
      </c>
      <c r="I11" s="6">
        <f>C11/420342</f>
        <v>0.44374104895537442</v>
      </c>
    </row>
    <row r="12" spans="1:9" x14ac:dyDescent="0.25">
      <c r="A12" s="4"/>
      <c r="B12" s="12" t="s">
        <v>70</v>
      </c>
      <c r="C12" s="5">
        <v>241872</v>
      </c>
      <c r="D12" s="5">
        <v>305114</v>
      </c>
      <c r="E12" s="5">
        <v>130586</v>
      </c>
      <c r="F12" s="5">
        <v>47</v>
      </c>
      <c r="G12" s="7">
        <f>C11</f>
        <v>186523</v>
      </c>
      <c r="H12" s="6">
        <f t="shared" si="0"/>
        <v>0.29674088450217928</v>
      </c>
      <c r="I12" s="6">
        <f>C12/507990</f>
        <v>0.47613535699521642</v>
      </c>
    </row>
    <row r="13" spans="1:9" x14ac:dyDescent="0.25">
      <c r="A13" s="4"/>
      <c r="B13" s="12" t="s">
        <v>71</v>
      </c>
      <c r="C13" s="5">
        <v>256598</v>
      </c>
      <c r="D13" s="5">
        <v>349700</v>
      </c>
      <c r="E13" s="5">
        <v>132300</v>
      </c>
      <c r="F13" s="5">
        <v>32</v>
      </c>
      <c r="G13" s="7">
        <f>C12</f>
        <v>241872</v>
      </c>
      <c r="H13" s="6">
        <f t="shared" si="0"/>
        <v>6.0883442481973971E-2</v>
      </c>
      <c r="I13" s="6">
        <f>C13/603211</f>
        <v>0.42538680494884873</v>
      </c>
    </row>
    <row r="14" spans="1:9" x14ac:dyDescent="0.25">
      <c r="A14" s="4" t="s">
        <v>37</v>
      </c>
      <c r="B14" s="12" t="s">
        <v>69</v>
      </c>
      <c r="C14" s="5">
        <v>134816</v>
      </c>
      <c r="D14" s="5">
        <v>145179</v>
      </c>
      <c r="E14" s="5">
        <v>114620</v>
      </c>
      <c r="F14" s="5">
        <v>43</v>
      </c>
      <c r="G14" s="5">
        <v>69691</v>
      </c>
      <c r="H14" s="6">
        <f t="shared" si="0"/>
        <v>0.93448221434618528</v>
      </c>
      <c r="I14" s="6">
        <f>C14/253029</f>
        <v>0.53280849230720584</v>
      </c>
    </row>
    <row r="15" spans="1:9" x14ac:dyDescent="0.25">
      <c r="A15" s="4"/>
      <c r="B15" s="12" t="s">
        <v>70</v>
      </c>
      <c r="C15" s="5">
        <v>161709</v>
      </c>
      <c r="D15" s="5">
        <v>202144</v>
      </c>
      <c r="E15" s="5">
        <v>113780</v>
      </c>
      <c r="F15" s="5">
        <v>42</v>
      </c>
      <c r="G15" s="7">
        <f>C14</f>
        <v>134816</v>
      </c>
      <c r="H15" s="6">
        <f t="shared" si="0"/>
        <v>0.19947929029195355</v>
      </c>
      <c r="I15" s="6">
        <f>C15/301689</f>
        <v>0.53601225102671957</v>
      </c>
    </row>
    <row r="16" spans="1:9" x14ac:dyDescent="0.25">
      <c r="A16" s="4"/>
      <c r="B16" s="12" t="s">
        <v>71</v>
      </c>
      <c r="C16" s="5">
        <v>177916</v>
      </c>
      <c r="D16" s="5">
        <v>265670</v>
      </c>
      <c r="E16" s="5">
        <v>110611</v>
      </c>
      <c r="F16" s="5">
        <v>31</v>
      </c>
      <c r="G16" s="7">
        <f>C15</f>
        <v>161709</v>
      </c>
      <c r="H16" s="6">
        <f t="shared" si="0"/>
        <v>0.10022324051227827</v>
      </c>
      <c r="I16" s="6">
        <f>C16/353460</f>
        <v>0.50335540089401909</v>
      </c>
    </row>
    <row r="17" spans="1:9" x14ac:dyDescent="0.25">
      <c r="A17" s="4" t="s">
        <v>38</v>
      </c>
      <c r="B17" s="12" t="s">
        <v>72</v>
      </c>
      <c r="C17" s="5">
        <v>79883</v>
      </c>
      <c r="D17" s="5">
        <v>130000</v>
      </c>
      <c r="E17" s="5">
        <v>22121</v>
      </c>
      <c r="F17" s="5">
        <v>34</v>
      </c>
      <c r="G17" s="5">
        <v>55663</v>
      </c>
      <c r="H17" s="6">
        <f t="shared" si="0"/>
        <v>0.43511848085802063</v>
      </c>
      <c r="I17" s="6">
        <f>C17/89071</f>
        <v>0.89684633606897868</v>
      </c>
    </row>
    <row r="18" spans="1:9" x14ac:dyDescent="0.25">
      <c r="A18" s="4"/>
      <c r="B18" s="12" t="s">
        <v>73</v>
      </c>
      <c r="C18" s="5">
        <v>96753</v>
      </c>
      <c r="D18" s="5">
        <v>149772</v>
      </c>
      <c r="E18" s="5">
        <v>40542</v>
      </c>
      <c r="F18" s="5">
        <v>31</v>
      </c>
      <c r="G18" s="7">
        <f>C17</f>
        <v>79883</v>
      </c>
      <c r="H18" s="6">
        <f t="shared" si="0"/>
        <v>0.21118385638997039</v>
      </c>
      <c r="I18" s="6">
        <f>C18/130895</f>
        <v>0.73916497956377247</v>
      </c>
    </row>
    <row r="19" spans="1:9" x14ac:dyDescent="0.25">
      <c r="A19" s="4"/>
      <c r="B19" s="12" t="s">
        <v>74</v>
      </c>
      <c r="C19" s="5">
        <v>92156</v>
      </c>
      <c r="D19" s="5">
        <v>160000</v>
      </c>
      <c r="E19" s="5">
        <v>55410</v>
      </c>
      <c r="F19" s="5">
        <v>19</v>
      </c>
      <c r="G19" s="7">
        <f>C18</f>
        <v>96753</v>
      </c>
      <c r="H19" s="6">
        <f t="shared" si="0"/>
        <v>-4.7512738623091799E-2</v>
      </c>
      <c r="I19" s="6">
        <f>C19/182424</f>
        <v>0.50517475770731923</v>
      </c>
    </row>
    <row r="21" spans="1:9" x14ac:dyDescent="0.25">
      <c r="A21" s="17" t="s">
        <v>75</v>
      </c>
      <c r="B21" s="18"/>
      <c r="C21" s="18"/>
      <c r="D21" s="18"/>
      <c r="E21" s="18"/>
      <c r="F21" s="18"/>
      <c r="G21" s="18"/>
      <c r="H21" s="18"/>
      <c r="I21" s="18"/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workbookViewId="0"/>
  </sheetViews>
  <sheetFormatPr defaultRowHeight="15" x14ac:dyDescent="0.25"/>
  <cols>
    <col min="1" max="1" width="22" customWidth="1"/>
    <col min="2" max="15" width="11" customWidth="1"/>
  </cols>
  <sheetData>
    <row r="1" spans="1:14" ht="21.95" customHeight="1" x14ac:dyDescent="0.25">
      <c r="A1" s="16" t="s">
        <v>76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17" t="s">
        <v>77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</row>
    <row r="5" spans="1:14" x14ac:dyDescent="0.25">
      <c r="A5" s="4" t="s">
        <v>34</v>
      </c>
      <c r="B5" s="5">
        <v>6552</v>
      </c>
      <c r="C5" s="5">
        <v>9114</v>
      </c>
      <c r="D5" s="5">
        <v>8696</v>
      </c>
      <c r="E5" s="5">
        <v>14223</v>
      </c>
      <c r="F5" s="5">
        <v>13546</v>
      </c>
      <c r="G5" s="5">
        <v>17592</v>
      </c>
      <c r="H5" s="5">
        <v>23216</v>
      </c>
      <c r="I5" s="5">
        <v>24768</v>
      </c>
      <c r="J5" s="5">
        <v>35202</v>
      </c>
      <c r="K5" s="5">
        <v>55552</v>
      </c>
      <c r="L5" s="5">
        <v>83094</v>
      </c>
      <c r="M5" s="5">
        <v>157860</v>
      </c>
      <c r="N5" s="5">
        <v>192476</v>
      </c>
    </row>
    <row r="6" spans="1:14" x14ac:dyDescent="0.25">
      <c r="A6" s="4" t="s">
        <v>35</v>
      </c>
      <c r="B6" s="5">
        <v>4588</v>
      </c>
      <c r="C6" s="5">
        <v>7804</v>
      </c>
      <c r="D6" s="5">
        <v>11955</v>
      </c>
      <c r="E6" s="5">
        <v>13426</v>
      </c>
      <c r="F6" s="5">
        <v>16861</v>
      </c>
      <c r="G6" s="5">
        <v>40141</v>
      </c>
      <c r="H6" s="5">
        <v>61053</v>
      </c>
      <c r="I6" s="5">
        <v>63645</v>
      </c>
      <c r="J6" s="5">
        <v>52729</v>
      </c>
      <c r="K6" s="5">
        <v>82999</v>
      </c>
      <c r="L6" s="5">
        <v>131819</v>
      </c>
      <c r="M6" s="5">
        <v>199113</v>
      </c>
      <c r="N6" s="5">
        <v>228460</v>
      </c>
    </row>
    <row r="7" spans="1:14" x14ac:dyDescent="0.25">
      <c r="A7" s="4" t="s">
        <v>36</v>
      </c>
      <c r="B7" s="5">
        <v>9927</v>
      </c>
      <c r="C7" s="5">
        <v>10212</v>
      </c>
      <c r="D7" s="5">
        <v>13184</v>
      </c>
      <c r="E7" s="5">
        <v>25139</v>
      </c>
      <c r="F7" s="5">
        <v>23548</v>
      </c>
      <c r="G7" s="5">
        <v>22281</v>
      </c>
      <c r="H7" s="5">
        <v>24640</v>
      </c>
      <c r="I7" s="5">
        <v>31485</v>
      </c>
      <c r="J7" s="5">
        <v>32251</v>
      </c>
      <c r="K7" s="5">
        <v>52535</v>
      </c>
      <c r="L7" s="5">
        <v>91447</v>
      </c>
      <c r="M7" s="5">
        <v>186523</v>
      </c>
      <c r="N7" s="5">
        <v>241872</v>
      </c>
    </row>
    <row r="8" spans="1:14" x14ac:dyDescent="0.25">
      <c r="A8" s="4" t="s">
        <v>37</v>
      </c>
      <c r="B8" s="5">
        <v>2523</v>
      </c>
      <c r="C8" s="5">
        <v>4491</v>
      </c>
      <c r="D8" s="5">
        <v>6732</v>
      </c>
      <c r="E8" s="5">
        <v>13980</v>
      </c>
      <c r="F8" s="5">
        <v>15102</v>
      </c>
      <c r="G8" s="5">
        <v>15115</v>
      </c>
      <c r="H8" s="5">
        <v>18628</v>
      </c>
      <c r="I8" s="5">
        <v>31431</v>
      </c>
      <c r="J8" s="5">
        <v>27266</v>
      </c>
      <c r="K8" s="5">
        <v>37256</v>
      </c>
      <c r="L8" s="5">
        <v>69691</v>
      </c>
      <c r="M8" s="5">
        <v>134816</v>
      </c>
      <c r="N8" s="5">
        <v>161709</v>
      </c>
    </row>
    <row r="9" spans="1:14" x14ac:dyDescent="0.25">
      <c r="A9" s="4" t="s">
        <v>38</v>
      </c>
      <c r="B9" s="5">
        <v>1606</v>
      </c>
      <c r="C9" s="5">
        <v>1604</v>
      </c>
      <c r="D9" s="5">
        <v>2037</v>
      </c>
      <c r="E9" s="5">
        <v>1468</v>
      </c>
      <c r="F9" s="5">
        <v>1591</v>
      </c>
      <c r="G9" s="5">
        <v>1833</v>
      </c>
      <c r="H9" s="5">
        <v>4122</v>
      </c>
      <c r="I9" s="5">
        <v>6678</v>
      </c>
      <c r="J9" s="5">
        <v>6935</v>
      </c>
      <c r="K9" s="5">
        <v>10745</v>
      </c>
      <c r="L9" s="5">
        <v>35477</v>
      </c>
      <c r="M9" s="5">
        <v>71090</v>
      </c>
      <c r="N9" s="5">
        <v>89907</v>
      </c>
    </row>
    <row r="10" spans="1:14" x14ac:dyDescent="0.25">
      <c r="A10" s="8" t="s">
        <v>39</v>
      </c>
      <c r="B10" s="9">
        <f t="shared" ref="B10:N10" si="0">SUM(B5:B9)</f>
        <v>25196</v>
      </c>
      <c r="C10" s="9">
        <f t="shared" si="0"/>
        <v>33225</v>
      </c>
      <c r="D10" s="9">
        <f t="shared" si="0"/>
        <v>42604</v>
      </c>
      <c r="E10" s="9">
        <f t="shared" si="0"/>
        <v>68236</v>
      </c>
      <c r="F10" s="9">
        <f t="shared" si="0"/>
        <v>70648</v>
      </c>
      <c r="G10" s="9">
        <f t="shared" si="0"/>
        <v>96962</v>
      </c>
      <c r="H10" s="9">
        <f t="shared" si="0"/>
        <v>131659</v>
      </c>
      <c r="I10" s="9">
        <f t="shared" si="0"/>
        <v>158007</v>
      </c>
      <c r="J10" s="9">
        <f t="shared" si="0"/>
        <v>154383</v>
      </c>
      <c r="K10" s="9">
        <f t="shared" si="0"/>
        <v>239087</v>
      </c>
      <c r="L10" s="9">
        <f t="shared" si="0"/>
        <v>411528</v>
      </c>
      <c r="M10" s="9">
        <f t="shared" si="0"/>
        <v>749402</v>
      </c>
      <c r="N10" s="9">
        <f t="shared" si="0"/>
        <v>914424</v>
      </c>
    </row>
    <row r="12" spans="1:14" x14ac:dyDescent="0.25">
      <c r="A12" s="3" t="s">
        <v>92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87</v>
      </c>
      <c r="K12" s="3" t="s">
        <v>88</v>
      </c>
      <c r="L12" s="3" t="s">
        <v>89</v>
      </c>
    </row>
    <row r="13" spans="1:14" x14ac:dyDescent="0.25">
      <c r="A13" s="4" t="s">
        <v>34</v>
      </c>
      <c r="B13" s="5">
        <v>90072</v>
      </c>
      <c r="C13" s="5">
        <v>92745</v>
      </c>
      <c r="D13" s="5">
        <v>102273</v>
      </c>
      <c r="E13" s="5">
        <v>118459</v>
      </c>
      <c r="F13" s="5">
        <v>134249</v>
      </c>
      <c r="G13" s="5">
        <v>153284</v>
      </c>
      <c r="H13" s="5">
        <v>184903</v>
      </c>
      <c r="I13" s="5">
        <v>204094</v>
      </c>
      <c r="J13" s="5">
        <v>227583</v>
      </c>
      <c r="K13" s="5">
        <v>261802</v>
      </c>
      <c r="L13" s="5">
        <v>305453</v>
      </c>
    </row>
    <row r="14" spans="1:14" x14ac:dyDescent="0.25">
      <c r="A14" s="4" t="s">
        <v>35</v>
      </c>
      <c r="B14" s="5">
        <v>107007</v>
      </c>
      <c r="C14" s="5">
        <v>135987</v>
      </c>
      <c r="D14" s="5">
        <v>177866</v>
      </c>
      <c r="E14" s="5">
        <v>232887</v>
      </c>
      <c r="F14" s="5">
        <v>280522</v>
      </c>
      <c r="G14" s="5">
        <v>386064</v>
      </c>
      <c r="H14" s="5">
        <v>469822</v>
      </c>
      <c r="I14" s="5">
        <v>513983</v>
      </c>
      <c r="J14" s="5">
        <v>574785</v>
      </c>
      <c r="K14" s="5">
        <v>637959</v>
      </c>
      <c r="L14" s="5">
        <v>716924</v>
      </c>
    </row>
    <row r="15" spans="1:14" x14ac:dyDescent="0.25">
      <c r="A15" s="4" t="s">
        <v>36</v>
      </c>
      <c r="B15" s="5">
        <v>74989</v>
      </c>
      <c r="C15" s="5">
        <v>90272</v>
      </c>
      <c r="D15" s="5">
        <v>110855</v>
      </c>
      <c r="E15" s="5">
        <v>136819</v>
      </c>
      <c r="F15" s="5">
        <v>161857</v>
      </c>
      <c r="G15" s="5">
        <v>182527</v>
      </c>
      <c r="H15" s="5">
        <v>257637</v>
      </c>
      <c r="I15" s="5">
        <v>282836</v>
      </c>
      <c r="J15" s="5">
        <v>307394</v>
      </c>
      <c r="K15" s="5">
        <v>350018</v>
      </c>
      <c r="L15" s="5">
        <v>402836</v>
      </c>
    </row>
    <row r="16" spans="1:14" x14ac:dyDescent="0.25">
      <c r="A16" s="4" t="s">
        <v>37</v>
      </c>
      <c r="B16" s="5">
        <v>17927</v>
      </c>
      <c r="C16" s="5">
        <v>27638</v>
      </c>
      <c r="D16" s="5">
        <v>40653</v>
      </c>
      <c r="E16" s="5">
        <v>55838</v>
      </c>
      <c r="F16" s="5">
        <v>70697</v>
      </c>
      <c r="G16" s="5">
        <v>85966</v>
      </c>
      <c r="H16" s="5">
        <v>117929</v>
      </c>
      <c r="I16" s="5">
        <v>116609</v>
      </c>
      <c r="J16" s="5">
        <v>134901</v>
      </c>
      <c r="K16" s="5">
        <v>164500</v>
      </c>
      <c r="L16" s="5">
        <v>200965</v>
      </c>
    </row>
    <row r="17" spans="1:12" x14ac:dyDescent="0.25">
      <c r="A17" s="4" t="s">
        <v>38</v>
      </c>
      <c r="B17" s="5">
        <v>37474</v>
      </c>
      <c r="C17" s="5">
        <v>37236</v>
      </c>
      <c r="D17" s="5">
        <v>38790</v>
      </c>
      <c r="E17" s="5">
        <v>39445</v>
      </c>
      <c r="F17" s="5">
        <v>39582</v>
      </c>
      <c r="G17" s="5">
        <v>39403</v>
      </c>
      <c r="H17" s="5">
        <v>41400</v>
      </c>
      <c r="I17" s="5">
        <v>46073</v>
      </c>
      <c r="J17" s="5">
        <v>51629</v>
      </c>
      <c r="K17" s="5">
        <v>54933</v>
      </c>
      <c r="L17" s="5">
        <v>61017</v>
      </c>
    </row>
    <row r="19" spans="1:12" x14ac:dyDescent="0.25">
      <c r="A19" s="3" t="s">
        <v>93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83</v>
      </c>
      <c r="G19" s="3" t="s">
        <v>84</v>
      </c>
      <c r="H19" s="3" t="s">
        <v>85</v>
      </c>
      <c r="I19" s="3" t="s">
        <v>86</v>
      </c>
      <c r="J19" s="3" t="s">
        <v>87</v>
      </c>
      <c r="K19" s="3" t="s">
        <v>88</v>
      </c>
      <c r="L19" s="3" t="s">
        <v>89</v>
      </c>
    </row>
    <row r="20" spans="1:12" x14ac:dyDescent="0.25">
      <c r="A20" s="4" t="s">
        <v>34</v>
      </c>
      <c r="B20" s="6">
        <f t="shared" ref="B20:L20" si="1">IF(OR(B13="",B13=0),"-",B5/B13)</f>
        <v>7.2741806554756192E-2</v>
      </c>
      <c r="C20" s="6">
        <f t="shared" si="1"/>
        <v>9.8269448487789096E-2</v>
      </c>
      <c r="D20" s="6">
        <f t="shared" si="1"/>
        <v>8.5027328816012049E-2</v>
      </c>
      <c r="E20" s="6">
        <f t="shared" si="1"/>
        <v>0.12006685857554091</v>
      </c>
      <c r="F20" s="6">
        <f t="shared" si="1"/>
        <v>0.10090205513635112</v>
      </c>
      <c r="G20" s="6">
        <f t="shared" si="1"/>
        <v>0.11476735993319589</v>
      </c>
      <c r="H20" s="6">
        <f t="shared" si="1"/>
        <v>0.12555772486114342</v>
      </c>
      <c r="I20" s="6">
        <f t="shared" si="1"/>
        <v>0.12135584583574235</v>
      </c>
      <c r="J20" s="6">
        <f t="shared" si="1"/>
        <v>0.15467763409393495</v>
      </c>
      <c r="K20" s="6">
        <f t="shared" si="1"/>
        <v>0.21219089235376354</v>
      </c>
      <c r="L20" s="6">
        <f t="shared" si="1"/>
        <v>0.27203530494053096</v>
      </c>
    </row>
    <row r="21" spans="1:12" x14ac:dyDescent="0.25">
      <c r="A21" s="4" t="s">
        <v>35</v>
      </c>
      <c r="B21" s="6">
        <f t="shared" ref="B21:L21" si="2">IF(OR(B14="",B14=0),"-",B6/B14)</f>
        <v>4.287569972057903E-2</v>
      </c>
      <c r="C21" s="6">
        <f t="shared" si="2"/>
        <v>5.7387838543390177E-2</v>
      </c>
      <c r="D21" s="6">
        <f t="shared" si="2"/>
        <v>6.7213520290555814E-2</v>
      </c>
      <c r="E21" s="6">
        <f t="shared" si="2"/>
        <v>5.7650276743656796E-2</v>
      </c>
      <c r="F21" s="6">
        <f t="shared" si="2"/>
        <v>6.0105802753438235E-2</v>
      </c>
      <c r="G21" s="6">
        <f t="shared" si="2"/>
        <v>0.10397498860292594</v>
      </c>
      <c r="H21" s="6">
        <f t="shared" si="2"/>
        <v>0.12994921480901278</v>
      </c>
      <c r="I21" s="6">
        <f t="shared" si="2"/>
        <v>0.12382705264571008</v>
      </c>
      <c r="J21" s="6">
        <f t="shared" si="2"/>
        <v>9.1736910322990334E-2</v>
      </c>
      <c r="K21" s="6">
        <f t="shared" si="2"/>
        <v>0.13010083720113674</v>
      </c>
      <c r="L21" s="6">
        <f t="shared" si="2"/>
        <v>0.18386746712343288</v>
      </c>
    </row>
    <row r="22" spans="1:12" x14ac:dyDescent="0.25">
      <c r="A22" s="4" t="s">
        <v>36</v>
      </c>
      <c r="B22" s="6">
        <f t="shared" ref="B22:L22" si="3">IF(OR(B15="",B15=0),"-",B7/B15)</f>
        <v>0.13237941564762831</v>
      </c>
      <c r="C22" s="6">
        <f t="shared" si="3"/>
        <v>0.11312477844735909</v>
      </c>
      <c r="D22" s="6">
        <f t="shared" si="3"/>
        <v>0.11893013395877497</v>
      </c>
      <c r="E22" s="6">
        <f t="shared" si="3"/>
        <v>0.18373910056351822</v>
      </c>
      <c r="F22" s="6">
        <f t="shared" si="3"/>
        <v>0.14548644791389931</v>
      </c>
      <c r="G22" s="6">
        <f t="shared" si="3"/>
        <v>0.12206961161910293</v>
      </c>
      <c r="H22" s="6">
        <f t="shared" si="3"/>
        <v>9.5638437025737766E-2</v>
      </c>
      <c r="I22" s="6">
        <f t="shared" si="3"/>
        <v>0.11131892686928113</v>
      </c>
      <c r="J22" s="6">
        <f t="shared" si="3"/>
        <v>0.10491746748472644</v>
      </c>
      <c r="K22" s="6">
        <f t="shared" si="3"/>
        <v>0.15009228096840735</v>
      </c>
      <c r="L22" s="6">
        <f t="shared" si="3"/>
        <v>0.22700801318650765</v>
      </c>
    </row>
    <row r="23" spans="1:12" x14ac:dyDescent="0.25">
      <c r="A23" s="4" t="s">
        <v>37</v>
      </c>
      <c r="B23" s="6">
        <f t="shared" ref="B23:L23" si="4">IF(OR(B16="",B16=0),"-",B8/B16)</f>
        <v>0.14073743515367881</v>
      </c>
      <c r="C23" s="6">
        <f t="shared" si="4"/>
        <v>0.16249366813807078</v>
      </c>
      <c r="D23" s="6">
        <f t="shared" si="4"/>
        <v>0.16559663493469118</v>
      </c>
      <c r="E23" s="6">
        <f t="shared" si="4"/>
        <v>0.25036713349331996</v>
      </c>
      <c r="F23" s="6">
        <f t="shared" si="4"/>
        <v>0.21361585357228738</v>
      </c>
      <c r="G23" s="6">
        <f t="shared" si="4"/>
        <v>0.17582532629178979</v>
      </c>
      <c r="H23" s="6">
        <f t="shared" si="4"/>
        <v>0.15795945017764926</v>
      </c>
      <c r="I23" s="6">
        <f t="shared" si="4"/>
        <v>0.26954180209074774</v>
      </c>
      <c r="J23" s="6">
        <f t="shared" si="4"/>
        <v>0.20211859067019519</v>
      </c>
      <c r="K23" s="6">
        <f t="shared" si="4"/>
        <v>0.22648024316109422</v>
      </c>
      <c r="L23" s="6">
        <f t="shared" si="4"/>
        <v>0.34678177792152864</v>
      </c>
    </row>
    <row r="24" spans="1:12" x14ac:dyDescent="0.25">
      <c r="A24" s="4" t="s">
        <v>38</v>
      </c>
      <c r="B24" s="6">
        <f t="shared" ref="B24:L24" si="5">IF(OR(B17="",B17=0),"-",B9/B17)</f>
        <v>4.2856380423760471E-2</v>
      </c>
      <c r="C24" s="6">
        <f t="shared" si="5"/>
        <v>4.3076592544849072E-2</v>
      </c>
      <c r="D24" s="6">
        <f t="shared" si="5"/>
        <v>5.2513534416086617E-2</v>
      </c>
      <c r="E24" s="6">
        <f t="shared" si="5"/>
        <v>3.7216377234123466E-2</v>
      </c>
      <c r="F24" s="6">
        <f t="shared" si="5"/>
        <v>4.0195038148653425E-2</v>
      </c>
      <c r="G24" s="6">
        <f t="shared" si="5"/>
        <v>4.6519300560871002E-2</v>
      </c>
      <c r="H24" s="6">
        <f t="shared" si="5"/>
        <v>9.9565217391304348E-2</v>
      </c>
      <c r="I24" s="6">
        <f t="shared" si="5"/>
        <v>0.14494389338658217</v>
      </c>
      <c r="J24" s="6">
        <f t="shared" si="5"/>
        <v>0.13432373278583742</v>
      </c>
      <c r="K24" s="6">
        <f t="shared" si="5"/>
        <v>0.19560191506016419</v>
      </c>
      <c r="L24" s="6">
        <f t="shared" si="5"/>
        <v>0.58142812658767229</v>
      </c>
    </row>
    <row r="26" spans="1:12" ht="26.25" x14ac:dyDescent="0.25">
      <c r="A26" s="3" t="s">
        <v>94</v>
      </c>
      <c r="B26" s="3" t="s">
        <v>95</v>
      </c>
      <c r="C26" s="3" t="s">
        <v>96</v>
      </c>
      <c r="D26" s="3" t="s">
        <v>97</v>
      </c>
      <c r="E26" s="3" t="s">
        <v>98</v>
      </c>
      <c r="F26" s="3" t="s">
        <v>99</v>
      </c>
      <c r="G26" s="3" t="s">
        <v>100</v>
      </c>
    </row>
    <row r="27" spans="1:12" x14ac:dyDescent="0.25">
      <c r="A27" s="4" t="s">
        <v>34</v>
      </c>
      <c r="B27" s="12" t="s">
        <v>66</v>
      </c>
      <c r="C27" s="13">
        <f>'Fiscal Years'!I5</f>
        <v>0.35482656889288183</v>
      </c>
      <c r="D27" s="12" t="s">
        <v>67</v>
      </c>
      <c r="E27" s="13">
        <f>'Fiscal Years'!I6</f>
        <v>0.47022092139114857</v>
      </c>
      <c r="F27" s="12" t="s">
        <v>68</v>
      </c>
      <c r="G27" s="13">
        <f>'Fiscal Years'!I7</f>
        <v>0.44616988889551673</v>
      </c>
    </row>
    <row r="28" spans="1:12" x14ac:dyDescent="0.25">
      <c r="A28" s="4" t="s">
        <v>35</v>
      </c>
      <c r="B28" s="12" t="s">
        <v>69</v>
      </c>
      <c r="C28" s="13">
        <f>'Fiscal Years'!I8</f>
        <v>0.24134938345379814</v>
      </c>
      <c r="D28" s="12" t="s">
        <v>70</v>
      </c>
      <c r="E28" s="13">
        <f>'Fiscal Years'!I9</f>
        <v>0.24470655778442343</v>
      </c>
      <c r="F28" s="12" t="s">
        <v>71</v>
      </c>
      <c r="G28" s="13">
        <f>'Fiscal Years'!I10</f>
        <v>0.22709451960718974</v>
      </c>
    </row>
    <row r="29" spans="1:12" x14ac:dyDescent="0.25">
      <c r="A29" s="4" t="s">
        <v>36</v>
      </c>
      <c r="B29" s="12" t="s">
        <v>69</v>
      </c>
      <c r="C29" s="13">
        <f>'Fiscal Years'!I11</f>
        <v>0.44374104895537442</v>
      </c>
      <c r="D29" s="12" t="s">
        <v>70</v>
      </c>
      <c r="E29" s="13">
        <f>'Fiscal Years'!I12</f>
        <v>0.47613535699521642</v>
      </c>
      <c r="F29" s="12" t="s">
        <v>71</v>
      </c>
      <c r="G29" s="13">
        <f>'Fiscal Years'!I13</f>
        <v>0.42538680494884873</v>
      </c>
    </row>
    <row r="30" spans="1:12" x14ac:dyDescent="0.25">
      <c r="A30" s="4" t="s">
        <v>37</v>
      </c>
      <c r="B30" s="12" t="s">
        <v>69</v>
      </c>
      <c r="C30" s="13">
        <f>'Fiscal Years'!I14</f>
        <v>0.53280849230720584</v>
      </c>
      <c r="D30" s="12" t="s">
        <v>70</v>
      </c>
      <c r="E30" s="13">
        <f>'Fiscal Years'!I15</f>
        <v>0.53601225102671957</v>
      </c>
      <c r="F30" s="12" t="s">
        <v>71</v>
      </c>
      <c r="G30" s="13">
        <f>'Fiscal Years'!I16</f>
        <v>0.50335540089401909</v>
      </c>
    </row>
    <row r="31" spans="1:12" x14ac:dyDescent="0.25">
      <c r="A31" s="4" t="s">
        <v>38</v>
      </c>
      <c r="B31" s="12" t="s">
        <v>72</v>
      </c>
      <c r="C31" s="13">
        <f>'Fiscal Years'!I17</f>
        <v>0.89684633606897868</v>
      </c>
      <c r="D31" s="12" t="s">
        <v>73</v>
      </c>
      <c r="E31" s="13">
        <f>'Fiscal Years'!I18</f>
        <v>0.73916497956377247</v>
      </c>
      <c r="F31" s="12" t="s">
        <v>74</v>
      </c>
      <c r="G31" s="13">
        <f>'Fiscal Years'!I19</f>
        <v>0.50517475770731923</v>
      </c>
    </row>
    <row r="33" spans="1:14" x14ac:dyDescent="0.25">
      <c r="A33" s="17" t="s">
        <v>101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</sheetData>
  <mergeCells count="3">
    <mergeCell ref="A33:N33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7" width="11" customWidth="1"/>
    <col min="8" max="8" width="2" customWidth="1"/>
    <col min="9" max="14" width="11" customWidth="1"/>
  </cols>
  <sheetData>
    <row r="1" spans="1:14" ht="21.95" customHeight="1" x14ac:dyDescent="0.25">
      <c r="A1" s="16" t="s">
        <v>102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17" t="s">
        <v>103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26.25" x14ac:dyDescent="0.25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  <c r="M4" s="3" t="s">
        <v>115</v>
      </c>
      <c r="N4" s="3" t="s">
        <v>116</v>
      </c>
    </row>
    <row r="5" spans="1:14" x14ac:dyDescent="0.25">
      <c r="A5" s="12" t="s">
        <v>117</v>
      </c>
      <c r="B5" s="7">
        <v>28043</v>
      </c>
      <c r="C5" s="7">
        <v>59509</v>
      </c>
      <c r="D5" s="7">
        <v>32997</v>
      </c>
      <c r="E5" s="7">
        <v>34170</v>
      </c>
      <c r="F5" s="7">
        <v>7971</v>
      </c>
      <c r="G5" s="7">
        <f t="shared" ref="G5:G36" si="0">SUM(B5:F5)</f>
        <v>162690</v>
      </c>
      <c r="I5" s="7">
        <v>30620</v>
      </c>
      <c r="J5" s="7">
        <v>63015</v>
      </c>
      <c r="K5" s="7">
        <v>35028</v>
      </c>
      <c r="L5" s="7">
        <v>33652</v>
      </c>
      <c r="M5" s="7">
        <v>7212</v>
      </c>
      <c r="N5" s="7">
        <f t="shared" ref="N5:N36" si="1">SUM(I5:M5)</f>
        <v>169527</v>
      </c>
    </row>
    <row r="6" spans="1:14" x14ac:dyDescent="0.25">
      <c r="A6" s="12" t="s">
        <v>118</v>
      </c>
      <c r="B6" s="7">
        <v>28064</v>
      </c>
      <c r="C6" s="7">
        <v>59547</v>
      </c>
      <c r="D6" s="7">
        <v>32887</v>
      </c>
      <c r="E6" s="7">
        <v>34077</v>
      </c>
      <c r="F6" s="7">
        <v>7878</v>
      </c>
      <c r="G6" s="7">
        <f t="shared" si="0"/>
        <v>162453</v>
      </c>
      <c r="I6" s="7">
        <v>30617</v>
      </c>
      <c r="J6" s="7">
        <v>62955</v>
      </c>
      <c r="K6" s="7">
        <v>34852</v>
      </c>
      <c r="L6" s="7">
        <v>33611</v>
      </c>
      <c r="M6" s="7">
        <v>7154</v>
      </c>
      <c r="N6" s="7">
        <f t="shared" si="1"/>
        <v>169189</v>
      </c>
    </row>
    <row r="7" spans="1:14" x14ac:dyDescent="0.25">
      <c r="A7" s="12" t="s">
        <v>119</v>
      </c>
      <c r="B7" s="7">
        <v>28116</v>
      </c>
      <c r="C7" s="7">
        <v>59540</v>
      </c>
      <c r="D7" s="7">
        <v>32999</v>
      </c>
      <c r="E7" s="7">
        <v>33983</v>
      </c>
      <c r="F7" s="7">
        <v>7833</v>
      </c>
      <c r="G7" s="7">
        <f t="shared" si="0"/>
        <v>162471</v>
      </c>
      <c r="I7" s="7">
        <v>30526</v>
      </c>
      <c r="J7" s="7">
        <v>62517</v>
      </c>
      <c r="K7" s="7">
        <v>34837</v>
      </c>
      <c r="L7" s="7">
        <v>33550</v>
      </c>
      <c r="M7" s="7">
        <v>7150</v>
      </c>
      <c r="N7" s="7">
        <f t="shared" si="1"/>
        <v>168580</v>
      </c>
    </row>
    <row r="8" spans="1:14" x14ac:dyDescent="0.25">
      <c r="A8" s="12" t="s">
        <v>120</v>
      </c>
      <c r="B8" s="7">
        <v>27883</v>
      </c>
      <c r="C8" s="7">
        <v>59464</v>
      </c>
      <c r="D8" s="7">
        <v>32876</v>
      </c>
      <c r="E8" s="7">
        <v>33924</v>
      </c>
      <c r="F8" s="7">
        <v>7803</v>
      </c>
      <c r="G8" s="7">
        <f t="shared" si="0"/>
        <v>161950</v>
      </c>
      <c r="I8" s="7">
        <v>30584</v>
      </c>
      <c r="J8" s="7">
        <v>62309</v>
      </c>
      <c r="K8" s="7">
        <v>34861</v>
      </c>
      <c r="L8" s="7">
        <v>33500</v>
      </c>
      <c r="M8" s="7">
        <v>7146</v>
      </c>
      <c r="N8" s="7">
        <f t="shared" si="1"/>
        <v>168400</v>
      </c>
    </row>
    <row r="9" spans="1:14" x14ac:dyDescent="0.25">
      <c r="A9" s="12" t="s">
        <v>121</v>
      </c>
      <c r="B9" s="7">
        <v>27933</v>
      </c>
      <c r="C9" s="7">
        <v>60869</v>
      </c>
      <c r="D9" s="7">
        <v>31729</v>
      </c>
      <c r="E9" s="7">
        <v>31745</v>
      </c>
      <c r="F9" s="7">
        <v>7773</v>
      </c>
      <c r="G9" s="7">
        <f t="shared" si="0"/>
        <v>160049</v>
      </c>
      <c r="I9" s="7">
        <v>30646</v>
      </c>
      <c r="J9" s="7">
        <v>64091</v>
      </c>
      <c r="K9" s="7">
        <v>33859</v>
      </c>
      <c r="L9" s="7">
        <v>31845</v>
      </c>
      <c r="M9" s="7">
        <v>7142</v>
      </c>
      <c r="N9" s="7">
        <f t="shared" si="1"/>
        <v>167583</v>
      </c>
    </row>
    <row r="10" spans="1:14" x14ac:dyDescent="0.25">
      <c r="A10" s="12" t="s">
        <v>122</v>
      </c>
      <c r="B10" s="7">
        <v>27956</v>
      </c>
      <c r="C10" s="7">
        <v>60876</v>
      </c>
      <c r="D10" s="7">
        <v>31516</v>
      </c>
      <c r="E10" s="7">
        <v>31437</v>
      </c>
      <c r="F10" s="7">
        <v>7744</v>
      </c>
      <c r="G10" s="7">
        <f t="shared" si="0"/>
        <v>159529</v>
      </c>
      <c r="I10" s="7">
        <v>30540</v>
      </c>
      <c r="J10" s="7">
        <v>63691</v>
      </c>
      <c r="K10" s="7">
        <v>33626</v>
      </c>
      <c r="L10" s="7">
        <v>31741</v>
      </c>
      <c r="M10" s="7">
        <v>7138</v>
      </c>
      <c r="N10" s="7">
        <f t="shared" si="1"/>
        <v>166736</v>
      </c>
    </row>
    <row r="11" spans="1:14" x14ac:dyDescent="0.25">
      <c r="A11" s="12" t="s">
        <v>123</v>
      </c>
      <c r="B11" s="7">
        <v>27919</v>
      </c>
      <c r="C11" s="7">
        <v>60457</v>
      </c>
      <c r="D11" s="7">
        <v>31487</v>
      </c>
      <c r="E11" s="7">
        <v>31386</v>
      </c>
      <c r="F11" s="7">
        <v>7714</v>
      </c>
      <c r="G11" s="7">
        <f t="shared" si="0"/>
        <v>158963</v>
      </c>
      <c r="I11" s="7">
        <v>30546</v>
      </c>
      <c r="J11" s="7">
        <v>62561</v>
      </c>
      <c r="K11" s="7">
        <v>33534</v>
      </c>
      <c r="L11" s="7">
        <v>31684</v>
      </c>
      <c r="M11" s="7">
        <v>7134</v>
      </c>
      <c r="N11" s="7">
        <f t="shared" si="1"/>
        <v>165459</v>
      </c>
    </row>
    <row r="12" spans="1:14" x14ac:dyDescent="0.25">
      <c r="A12" s="12" t="s">
        <v>124</v>
      </c>
      <c r="B12" s="7">
        <v>27974</v>
      </c>
      <c r="C12" s="7">
        <v>60496</v>
      </c>
      <c r="D12" s="7">
        <v>31590</v>
      </c>
      <c r="E12" s="7">
        <v>31506</v>
      </c>
      <c r="F12" s="7">
        <v>7684</v>
      </c>
      <c r="G12" s="7">
        <f t="shared" si="0"/>
        <v>159250</v>
      </c>
      <c r="I12" s="7">
        <v>30593</v>
      </c>
      <c r="J12" s="7">
        <v>62611</v>
      </c>
      <c r="K12" s="7">
        <v>33570</v>
      </c>
      <c r="L12" s="7">
        <v>31780</v>
      </c>
      <c r="M12" s="7">
        <v>7131</v>
      </c>
      <c r="N12" s="7">
        <f t="shared" si="1"/>
        <v>165685</v>
      </c>
    </row>
    <row r="13" spans="1:14" x14ac:dyDescent="0.25">
      <c r="A13" s="12" t="s">
        <v>125</v>
      </c>
      <c r="B13" s="7">
        <v>28029</v>
      </c>
      <c r="C13" s="7">
        <v>60535</v>
      </c>
      <c r="D13" s="7">
        <v>31629</v>
      </c>
      <c r="E13" s="7">
        <v>31526</v>
      </c>
      <c r="F13" s="7">
        <v>7655</v>
      </c>
      <c r="G13" s="7">
        <f t="shared" si="0"/>
        <v>159374</v>
      </c>
      <c r="I13" s="7">
        <v>30641</v>
      </c>
      <c r="J13" s="7">
        <v>62662</v>
      </c>
      <c r="K13" s="7">
        <v>33606</v>
      </c>
      <c r="L13" s="7">
        <v>31784</v>
      </c>
      <c r="M13" s="7">
        <v>7127</v>
      </c>
      <c r="N13" s="7">
        <f t="shared" si="1"/>
        <v>165820</v>
      </c>
    </row>
    <row r="14" spans="1:14" x14ac:dyDescent="0.25">
      <c r="A14" s="12" t="s">
        <v>126</v>
      </c>
      <c r="B14" s="7">
        <v>28085</v>
      </c>
      <c r="C14" s="7">
        <v>60611</v>
      </c>
      <c r="D14" s="7">
        <v>31668</v>
      </c>
      <c r="E14" s="7">
        <v>31530</v>
      </c>
      <c r="F14" s="7">
        <v>8333</v>
      </c>
      <c r="G14" s="7">
        <f t="shared" si="0"/>
        <v>160227</v>
      </c>
      <c r="I14" s="7">
        <v>30688</v>
      </c>
      <c r="J14" s="7">
        <v>62868</v>
      </c>
      <c r="K14" s="7">
        <v>33642</v>
      </c>
      <c r="L14" s="7">
        <v>31796</v>
      </c>
      <c r="M14" s="7">
        <v>7853</v>
      </c>
      <c r="N14" s="7">
        <f t="shared" si="1"/>
        <v>166847</v>
      </c>
    </row>
    <row r="15" spans="1:14" x14ac:dyDescent="0.25">
      <c r="A15" s="12" t="s">
        <v>127</v>
      </c>
      <c r="B15" s="7">
        <v>28145</v>
      </c>
      <c r="C15" s="7">
        <v>60417</v>
      </c>
      <c r="D15" s="7">
        <v>31670</v>
      </c>
      <c r="E15" s="7">
        <v>31465</v>
      </c>
      <c r="F15" s="7">
        <v>8125</v>
      </c>
      <c r="G15" s="7">
        <f t="shared" si="0"/>
        <v>159822</v>
      </c>
      <c r="I15" s="7">
        <v>30753</v>
      </c>
      <c r="J15" s="7">
        <v>62604</v>
      </c>
      <c r="K15" s="7">
        <v>33553</v>
      </c>
      <c r="L15" s="7">
        <v>31830</v>
      </c>
      <c r="M15" s="7">
        <v>7628</v>
      </c>
      <c r="N15" s="7">
        <f t="shared" si="1"/>
        <v>166368</v>
      </c>
    </row>
    <row r="16" spans="1:14" x14ac:dyDescent="0.25">
      <c r="A16" s="12" t="s">
        <v>128</v>
      </c>
      <c r="B16" s="7">
        <v>28201</v>
      </c>
      <c r="C16" s="7">
        <v>60459</v>
      </c>
      <c r="D16" s="7">
        <v>31724</v>
      </c>
      <c r="E16" s="7">
        <v>31449</v>
      </c>
      <c r="F16" s="7">
        <v>8143</v>
      </c>
      <c r="G16" s="7">
        <f t="shared" si="0"/>
        <v>159976</v>
      </c>
      <c r="I16" s="7">
        <v>30801</v>
      </c>
      <c r="J16" s="7">
        <v>62648</v>
      </c>
      <c r="K16" s="7">
        <v>33582</v>
      </c>
      <c r="L16" s="7">
        <v>31781</v>
      </c>
      <c r="M16" s="7">
        <v>7646</v>
      </c>
      <c r="N16" s="7">
        <f t="shared" si="1"/>
        <v>166458</v>
      </c>
    </row>
    <row r="17" spans="1:14" x14ac:dyDescent="0.25">
      <c r="A17" s="12" t="s">
        <v>129</v>
      </c>
      <c r="B17" s="7">
        <v>28256</v>
      </c>
      <c r="C17" s="7">
        <v>60501</v>
      </c>
      <c r="D17" s="7">
        <v>31776</v>
      </c>
      <c r="E17" s="7">
        <v>31459</v>
      </c>
      <c r="F17" s="7">
        <v>8117</v>
      </c>
      <c r="G17" s="7">
        <f t="shared" si="0"/>
        <v>160109</v>
      </c>
      <c r="I17" s="7">
        <v>30772</v>
      </c>
      <c r="J17" s="7">
        <v>62691</v>
      </c>
      <c r="K17" s="7">
        <v>33615</v>
      </c>
      <c r="L17" s="7">
        <v>31774</v>
      </c>
      <c r="M17" s="7">
        <v>7640</v>
      </c>
      <c r="N17" s="7">
        <f t="shared" si="1"/>
        <v>166492</v>
      </c>
    </row>
    <row r="18" spans="1:14" x14ac:dyDescent="0.25">
      <c r="A18" s="12" t="s">
        <v>130</v>
      </c>
      <c r="B18" s="7">
        <v>28311</v>
      </c>
      <c r="C18" s="7">
        <v>60600</v>
      </c>
      <c r="D18" s="7">
        <v>31821</v>
      </c>
      <c r="E18" s="7">
        <v>31373</v>
      </c>
      <c r="F18" s="7">
        <v>8091</v>
      </c>
      <c r="G18" s="7">
        <f t="shared" si="0"/>
        <v>160196</v>
      </c>
      <c r="I18" s="7">
        <v>30818</v>
      </c>
      <c r="J18" s="7">
        <v>63119</v>
      </c>
      <c r="K18" s="7">
        <v>33657</v>
      </c>
      <c r="L18" s="7">
        <v>31730</v>
      </c>
      <c r="M18" s="7">
        <v>7634</v>
      </c>
      <c r="N18" s="7">
        <f t="shared" si="1"/>
        <v>166958</v>
      </c>
    </row>
    <row r="19" spans="1:14" x14ac:dyDescent="0.25">
      <c r="A19" s="12" t="s">
        <v>131</v>
      </c>
      <c r="B19" s="7">
        <v>28360</v>
      </c>
      <c r="C19" s="7">
        <v>61434</v>
      </c>
      <c r="D19" s="7">
        <v>31889</v>
      </c>
      <c r="E19" s="7">
        <v>31385</v>
      </c>
      <c r="F19" s="7">
        <v>8066</v>
      </c>
      <c r="G19" s="7">
        <f t="shared" si="0"/>
        <v>161134</v>
      </c>
      <c r="I19" s="7">
        <v>30854</v>
      </c>
      <c r="J19" s="7">
        <v>63980</v>
      </c>
      <c r="K19" s="7">
        <v>33748</v>
      </c>
      <c r="L19" s="7">
        <v>31746</v>
      </c>
      <c r="M19" s="7">
        <v>7628</v>
      </c>
      <c r="N19" s="7">
        <f t="shared" si="1"/>
        <v>167956</v>
      </c>
    </row>
    <row r="20" spans="1:14" x14ac:dyDescent="0.25">
      <c r="A20" s="12" t="s">
        <v>132</v>
      </c>
      <c r="B20" s="7">
        <v>28415</v>
      </c>
      <c r="C20" s="7">
        <v>61482</v>
      </c>
      <c r="D20" s="7">
        <v>31888</v>
      </c>
      <c r="E20" s="7">
        <v>31346</v>
      </c>
      <c r="F20" s="7">
        <v>8040</v>
      </c>
      <c r="G20" s="7">
        <f t="shared" si="0"/>
        <v>161171</v>
      </c>
      <c r="I20" s="7">
        <v>30866</v>
      </c>
      <c r="J20" s="7">
        <v>64034</v>
      </c>
      <c r="K20" s="7">
        <v>33665</v>
      </c>
      <c r="L20" s="7">
        <v>31710</v>
      </c>
      <c r="M20" s="7">
        <v>7622</v>
      </c>
      <c r="N20" s="7">
        <f t="shared" si="1"/>
        <v>167897</v>
      </c>
    </row>
    <row r="21" spans="1:14" x14ac:dyDescent="0.25">
      <c r="A21" s="12" t="s">
        <v>133</v>
      </c>
      <c r="B21" s="7">
        <v>29997</v>
      </c>
      <c r="C21" s="7">
        <v>59529</v>
      </c>
      <c r="D21" s="7">
        <v>32493</v>
      </c>
      <c r="E21" s="7">
        <v>31610</v>
      </c>
      <c r="F21" s="7">
        <v>8014</v>
      </c>
      <c r="G21" s="7">
        <f t="shared" si="0"/>
        <v>161643</v>
      </c>
      <c r="I21" s="7">
        <v>32765</v>
      </c>
      <c r="J21" s="7">
        <v>61676</v>
      </c>
      <c r="K21" s="7">
        <v>33855</v>
      </c>
      <c r="L21" s="7">
        <v>32563</v>
      </c>
      <c r="M21" s="7">
        <v>7616</v>
      </c>
      <c r="N21" s="7">
        <f t="shared" si="1"/>
        <v>168475</v>
      </c>
    </row>
    <row r="22" spans="1:14" x14ac:dyDescent="0.25">
      <c r="A22" s="12" t="s">
        <v>134</v>
      </c>
      <c r="B22" s="7">
        <v>30113</v>
      </c>
      <c r="C22" s="7">
        <v>59630</v>
      </c>
      <c r="D22" s="7">
        <v>32518</v>
      </c>
      <c r="E22" s="7">
        <v>31632</v>
      </c>
      <c r="F22" s="7">
        <v>7989</v>
      </c>
      <c r="G22" s="7">
        <f t="shared" si="0"/>
        <v>161882</v>
      </c>
      <c r="I22" s="7">
        <v>32859</v>
      </c>
      <c r="J22" s="7">
        <v>61653</v>
      </c>
      <c r="K22" s="7">
        <v>33883</v>
      </c>
      <c r="L22" s="7">
        <v>32609</v>
      </c>
      <c r="M22" s="7">
        <v>7611</v>
      </c>
      <c r="N22" s="7">
        <f t="shared" si="1"/>
        <v>168615</v>
      </c>
    </row>
    <row r="23" spans="1:14" x14ac:dyDescent="0.25">
      <c r="A23" s="12" t="s">
        <v>135</v>
      </c>
      <c r="B23" s="7">
        <v>30253</v>
      </c>
      <c r="C23" s="7">
        <v>59652</v>
      </c>
      <c r="D23" s="7">
        <v>32535</v>
      </c>
      <c r="E23" s="7">
        <v>31700</v>
      </c>
      <c r="F23" s="7">
        <v>7963</v>
      </c>
      <c r="G23" s="7">
        <f t="shared" si="0"/>
        <v>162103</v>
      </c>
      <c r="I23" s="7">
        <v>32940</v>
      </c>
      <c r="J23" s="7">
        <v>61686</v>
      </c>
      <c r="K23" s="7">
        <v>33858</v>
      </c>
      <c r="L23" s="7">
        <v>32656</v>
      </c>
      <c r="M23" s="7">
        <v>7605</v>
      </c>
      <c r="N23" s="7">
        <f t="shared" si="1"/>
        <v>168745</v>
      </c>
    </row>
    <row r="24" spans="1:14" x14ac:dyDescent="0.25">
      <c r="A24" s="12" t="s">
        <v>136</v>
      </c>
      <c r="B24" s="7">
        <v>30244</v>
      </c>
      <c r="C24" s="7">
        <v>60101</v>
      </c>
      <c r="D24" s="7">
        <v>32692</v>
      </c>
      <c r="E24" s="7">
        <v>31723</v>
      </c>
      <c r="F24" s="7">
        <v>7937</v>
      </c>
      <c r="G24" s="7">
        <f t="shared" si="0"/>
        <v>162697</v>
      </c>
      <c r="I24" s="7">
        <v>32878</v>
      </c>
      <c r="J24" s="7">
        <v>62469</v>
      </c>
      <c r="K24" s="7">
        <v>34007</v>
      </c>
      <c r="L24" s="7">
        <v>32667</v>
      </c>
      <c r="M24" s="7">
        <v>7599</v>
      </c>
      <c r="N24" s="7">
        <f t="shared" si="1"/>
        <v>169620</v>
      </c>
    </row>
    <row r="25" spans="1:14" x14ac:dyDescent="0.25">
      <c r="A25" s="12" t="s">
        <v>137</v>
      </c>
      <c r="B25" s="7">
        <v>30317</v>
      </c>
      <c r="C25" s="7">
        <v>60142</v>
      </c>
      <c r="D25" s="7">
        <v>32716</v>
      </c>
      <c r="E25" s="7">
        <v>31789</v>
      </c>
      <c r="F25" s="7">
        <v>7912</v>
      </c>
      <c r="G25" s="7">
        <f t="shared" si="0"/>
        <v>162876</v>
      </c>
      <c r="I25" s="7">
        <v>32925</v>
      </c>
      <c r="J25" s="7">
        <v>62533</v>
      </c>
      <c r="K25" s="7">
        <v>34034</v>
      </c>
      <c r="L25" s="7">
        <v>32644</v>
      </c>
      <c r="M25" s="7">
        <v>7593</v>
      </c>
      <c r="N25" s="7">
        <f t="shared" si="1"/>
        <v>169729</v>
      </c>
    </row>
    <row r="26" spans="1:14" x14ac:dyDescent="0.25">
      <c r="A26" s="12" t="s">
        <v>138</v>
      </c>
      <c r="B26" s="7">
        <v>31065</v>
      </c>
      <c r="C26" s="7">
        <v>60288</v>
      </c>
      <c r="D26" s="7">
        <v>32759</v>
      </c>
      <c r="E26" s="7">
        <v>31847</v>
      </c>
      <c r="F26" s="7">
        <v>7950</v>
      </c>
      <c r="G26" s="7">
        <f t="shared" si="0"/>
        <v>163909</v>
      </c>
      <c r="I26" s="7">
        <v>33695</v>
      </c>
      <c r="J26" s="7">
        <v>63144</v>
      </c>
      <c r="K26" s="7">
        <v>34061</v>
      </c>
      <c r="L26" s="7">
        <v>32776</v>
      </c>
      <c r="M26" s="7">
        <v>7521</v>
      </c>
      <c r="N26" s="7">
        <f t="shared" si="1"/>
        <v>171197</v>
      </c>
    </row>
    <row r="27" spans="1:14" x14ac:dyDescent="0.25">
      <c r="A27" s="12" t="s">
        <v>139</v>
      </c>
      <c r="B27" s="7">
        <v>31149</v>
      </c>
      <c r="C27" s="7">
        <v>60427</v>
      </c>
      <c r="D27" s="7">
        <v>32825</v>
      </c>
      <c r="E27" s="7">
        <v>31918</v>
      </c>
      <c r="F27" s="7">
        <v>7938</v>
      </c>
      <c r="G27" s="7">
        <f t="shared" si="0"/>
        <v>164257</v>
      </c>
      <c r="I27" s="7">
        <v>33742</v>
      </c>
      <c r="J27" s="7">
        <v>63683</v>
      </c>
      <c r="K27" s="7">
        <v>34219</v>
      </c>
      <c r="L27" s="7">
        <v>32908</v>
      </c>
      <c r="M27" s="7">
        <v>7513</v>
      </c>
      <c r="N27" s="7">
        <f t="shared" si="1"/>
        <v>172065</v>
      </c>
    </row>
    <row r="28" spans="1:14" x14ac:dyDescent="0.25">
      <c r="A28" s="12" t="s">
        <v>140</v>
      </c>
      <c r="B28" s="7">
        <v>31234</v>
      </c>
      <c r="C28" s="7">
        <v>60479</v>
      </c>
      <c r="D28" s="7">
        <v>32849</v>
      </c>
      <c r="E28" s="7">
        <v>31967</v>
      </c>
      <c r="F28" s="7">
        <v>8012</v>
      </c>
      <c r="G28" s="7">
        <f t="shared" si="0"/>
        <v>164541</v>
      </c>
      <c r="I28" s="7">
        <v>33790</v>
      </c>
      <c r="J28" s="7">
        <v>63760</v>
      </c>
      <c r="K28" s="7">
        <v>34250</v>
      </c>
      <c r="L28" s="7">
        <v>32972</v>
      </c>
      <c r="M28" s="7">
        <v>7890</v>
      </c>
      <c r="N28" s="7">
        <f t="shared" si="1"/>
        <v>172662</v>
      </c>
    </row>
    <row r="29" spans="1:14" x14ac:dyDescent="0.25">
      <c r="A29" s="12" t="s">
        <v>141</v>
      </c>
      <c r="B29" s="7">
        <v>31325</v>
      </c>
      <c r="C29" s="7">
        <v>60531</v>
      </c>
      <c r="D29" s="7">
        <v>32892</v>
      </c>
      <c r="E29" s="7">
        <v>31917</v>
      </c>
      <c r="F29" s="7">
        <v>8010</v>
      </c>
      <c r="G29" s="7">
        <f t="shared" si="0"/>
        <v>164675</v>
      </c>
      <c r="I29" s="7">
        <v>33869</v>
      </c>
      <c r="J29" s="7">
        <v>63837</v>
      </c>
      <c r="K29" s="7">
        <v>34324</v>
      </c>
      <c r="L29" s="7">
        <v>32810</v>
      </c>
      <c r="M29" s="7">
        <v>7889</v>
      </c>
      <c r="N29" s="7">
        <f t="shared" si="1"/>
        <v>172729</v>
      </c>
    </row>
    <row r="30" spans="1:14" x14ac:dyDescent="0.25">
      <c r="A30" s="12" t="s">
        <v>142</v>
      </c>
      <c r="B30" s="7">
        <v>31410</v>
      </c>
      <c r="C30" s="7">
        <v>60609</v>
      </c>
      <c r="D30" s="7">
        <v>32891</v>
      </c>
      <c r="E30" s="7">
        <v>31976</v>
      </c>
      <c r="F30" s="7">
        <v>8001</v>
      </c>
      <c r="G30" s="7">
        <f t="shared" si="0"/>
        <v>164887</v>
      </c>
      <c r="I30" s="7">
        <v>33919</v>
      </c>
      <c r="J30" s="7">
        <v>63970</v>
      </c>
      <c r="K30" s="7">
        <v>34268</v>
      </c>
      <c r="L30" s="7">
        <v>32879</v>
      </c>
      <c r="M30" s="7">
        <v>7870</v>
      </c>
      <c r="N30" s="7">
        <f t="shared" si="1"/>
        <v>172906</v>
      </c>
    </row>
    <row r="31" spans="1:14" x14ac:dyDescent="0.25">
      <c r="A31" s="12" t="s">
        <v>143</v>
      </c>
      <c r="B31" s="7">
        <v>31458</v>
      </c>
      <c r="C31" s="7">
        <v>60828</v>
      </c>
      <c r="D31" s="7">
        <v>32916</v>
      </c>
      <c r="E31" s="7">
        <v>32019</v>
      </c>
      <c r="F31" s="7">
        <v>8122</v>
      </c>
      <c r="G31" s="7">
        <f t="shared" si="0"/>
        <v>165343</v>
      </c>
      <c r="I31" s="7">
        <v>33980</v>
      </c>
      <c r="J31" s="7">
        <v>64305</v>
      </c>
      <c r="K31" s="7">
        <v>34282</v>
      </c>
      <c r="L31" s="7">
        <v>32959</v>
      </c>
      <c r="M31" s="7">
        <v>8049</v>
      </c>
      <c r="N31" s="7">
        <f t="shared" si="1"/>
        <v>173575</v>
      </c>
    </row>
    <row r="32" spans="1:14" x14ac:dyDescent="0.25">
      <c r="A32" s="12" t="s">
        <v>144</v>
      </c>
      <c r="B32" s="7">
        <v>31518</v>
      </c>
      <c r="C32" s="7">
        <v>60897</v>
      </c>
      <c r="D32" s="7">
        <v>32925</v>
      </c>
      <c r="E32" s="7">
        <v>32060</v>
      </c>
      <c r="F32" s="7">
        <v>8121</v>
      </c>
      <c r="G32" s="7">
        <f t="shared" si="0"/>
        <v>165521</v>
      </c>
      <c r="I32" s="7">
        <v>34063</v>
      </c>
      <c r="J32" s="7">
        <v>64373</v>
      </c>
      <c r="K32" s="7">
        <v>34209</v>
      </c>
      <c r="L32" s="7">
        <v>32977</v>
      </c>
      <c r="M32" s="7">
        <v>8046</v>
      </c>
      <c r="N32" s="7">
        <f t="shared" si="1"/>
        <v>173668</v>
      </c>
    </row>
    <row r="33" spans="1:14" x14ac:dyDescent="0.25">
      <c r="A33" s="12" t="s">
        <v>145</v>
      </c>
      <c r="B33" s="7">
        <v>31729</v>
      </c>
      <c r="C33" s="7">
        <v>61022</v>
      </c>
      <c r="D33" s="7">
        <v>33192</v>
      </c>
      <c r="E33" s="7">
        <v>32275</v>
      </c>
      <c r="F33" s="7">
        <v>8130</v>
      </c>
      <c r="G33" s="7">
        <f t="shared" si="0"/>
        <v>166348</v>
      </c>
      <c r="I33" s="7">
        <v>34428</v>
      </c>
      <c r="J33" s="7">
        <v>64475</v>
      </c>
      <c r="K33" s="7">
        <v>34590</v>
      </c>
      <c r="L33" s="7">
        <v>33216</v>
      </c>
      <c r="M33" s="7">
        <v>8084</v>
      </c>
      <c r="N33" s="7">
        <f t="shared" si="1"/>
        <v>174793</v>
      </c>
    </row>
    <row r="34" spans="1:14" x14ac:dyDescent="0.25">
      <c r="A34" s="12" t="s">
        <v>146</v>
      </c>
      <c r="B34" s="7">
        <v>35983</v>
      </c>
      <c r="C34" s="7">
        <v>61090</v>
      </c>
      <c r="D34" s="7">
        <v>33516</v>
      </c>
      <c r="E34" s="7">
        <v>31813</v>
      </c>
      <c r="F34" s="7">
        <v>8129</v>
      </c>
      <c r="G34" s="7">
        <f t="shared" si="0"/>
        <v>170531</v>
      </c>
      <c r="I34" s="7">
        <v>38058</v>
      </c>
      <c r="J34" s="7">
        <v>64541</v>
      </c>
      <c r="K34" s="7">
        <v>35543</v>
      </c>
      <c r="L34" s="7">
        <v>34172</v>
      </c>
      <c r="M34" s="7">
        <v>8082</v>
      </c>
      <c r="N34" s="7">
        <f t="shared" si="1"/>
        <v>180396</v>
      </c>
    </row>
    <row r="35" spans="1:14" x14ac:dyDescent="0.25">
      <c r="A35" s="12" t="s">
        <v>147</v>
      </c>
      <c r="B35" s="7">
        <v>37016</v>
      </c>
      <c r="C35" s="7">
        <v>58709</v>
      </c>
      <c r="D35" s="7">
        <v>33533</v>
      </c>
      <c r="E35" s="7">
        <v>31909</v>
      </c>
      <c r="F35" s="7">
        <v>8129</v>
      </c>
      <c r="G35" s="7">
        <f t="shared" si="0"/>
        <v>169296</v>
      </c>
      <c r="I35" s="7">
        <v>38391</v>
      </c>
      <c r="J35" s="7">
        <v>63099</v>
      </c>
      <c r="K35" s="7">
        <v>35657</v>
      </c>
      <c r="L35" s="7">
        <v>34330</v>
      </c>
      <c r="M35" s="7">
        <v>8080</v>
      </c>
      <c r="N35" s="7">
        <f t="shared" si="1"/>
        <v>179557</v>
      </c>
    </row>
    <row r="36" spans="1:14" x14ac:dyDescent="0.25">
      <c r="A36" s="12" t="s">
        <v>148</v>
      </c>
      <c r="B36" s="7">
        <v>37430</v>
      </c>
      <c r="C36" s="7">
        <v>58640</v>
      </c>
      <c r="D36" s="7">
        <v>33770</v>
      </c>
      <c r="E36" s="7">
        <v>31966</v>
      </c>
      <c r="F36" s="7">
        <v>8128</v>
      </c>
      <c r="G36" s="7">
        <f t="shared" si="0"/>
        <v>169934</v>
      </c>
      <c r="I36" s="7">
        <v>38685</v>
      </c>
      <c r="J36" s="7">
        <v>62779</v>
      </c>
      <c r="K36" s="7">
        <v>36005</v>
      </c>
      <c r="L36" s="7">
        <v>34386</v>
      </c>
      <c r="M36" s="7">
        <v>8078</v>
      </c>
      <c r="N36" s="7">
        <f t="shared" si="1"/>
        <v>179933</v>
      </c>
    </row>
    <row r="37" spans="1:14" x14ac:dyDescent="0.25">
      <c r="A37" s="12" t="s">
        <v>149</v>
      </c>
      <c r="B37" s="7">
        <v>37454</v>
      </c>
      <c r="C37" s="7">
        <v>58712</v>
      </c>
      <c r="D37" s="7">
        <v>33980</v>
      </c>
      <c r="E37" s="7">
        <v>32221</v>
      </c>
      <c r="F37" s="7">
        <v>8127</v>
      </c>
      <c r="G37" s="7">
        <f t="shared" ref="G37:G68" si="2">SUM(B37:F37)</f>
        <v>170494</v>
      </c>
      <c r="I37" s="7">
        <v>38707</v>
      </c>
      <c r="J37" s="7">
        <v>62886</v>
      </c>
      <c r="K37" s="7">
        <v>36373</v>
      </c>
      <c r="L37" s="7">
        <v>34667</v>
      </c>
      <c r="M37" s="7">
        <v>8076</v>
      </c>
      <c r="N37" s="7">
        <f t="shared" ref="N37:N68" si="3">SUM(I37:M37)</f>
        <v>180709</v>
      </c>
    </row>
    <row r="38" spans="1:14" x14ac:dyDescent="0.25">
      <c r="A38" s="12" t="s">
        <v>150</v>
      </c>
      <c r="B38" s="7">
        <v>37479</v>
      </c>
      <c r="C38" s="7">
        <v>58894</v>
      </c>
      <c r="D38" s="7">
        <v>33982</v>
      </c>
      <c r="E38" s="7">
        <v>32281</v>
      </c>
      <c r="F38" s="7">
        <v>8126</v>
      </c>
      <c r="G38" s="7">
        <f t="shared" si="2"/>
        <v>170762</v>
      </c>
      <c r="I38" s="7">
        <v>38729</v>
      </c>
      <c r="J38" s="7">
        <v>63219</v>
      </c>
      <c r="K38" s="7">
        <v>36355</v>
      </c>
      <c r="L38" s="7">
        <v>34685</v>
      </c>
      <c r="M38" s="7">
        <v>8074</v>
      </c>
      <c r="N38" s="7">
        <f t="shared" si="3"/>
        <v>181062</v>
      </c>
    </row>
    <row r="39" spans="1:14" x14ac:dyDescent="0.25">
      <c r="A39" s="12" t="s">
        <v>151</v>
      </c>
      <c r="B39" s="7">
        <v>37893</v>
      </c>
      <c r="C39" s="7">
        <v>58804</v>
      </c>
      <c r="D39" s="7">
        <v>34073</v>
      </c>
      <c r="E39" s="7">
        <v>32426</v>
      </c>
      <c r="F39" s="7">
        <v>8103</v>
      </c>
      <c r="G39" s="7">
        <f t="shared" si="2"/>
        <v>171299</v>
      </c>
      <c r="I39" s="7">
        <v>39142</v>
      </c>
      <c r="J39" s="7">
        <v>63103</v>
      </c>
      <c r="K39" s="7">
        <v>36409</v>
      </c>
      <c r="L39" s="7">
        <v>34820</v>
      </c>
      <c r="M39" s="7">
        <v>8043</v>
      </c>
      <c r="N39" s="7">
        <f t="shared" si="3"/>
        <v>181517</v>
      </c>
    </row>
    <row r="40" spans="1:14" x14ac:dyDescent="0.25">
      <c r="A40" s="12" t="s">
        <v>152</v>
      </c>
      <c r="B40" s="7">
        <v>37917</v>
      </c>
      <c r="C40" s="7">
        <v>58699</v>
      </c>
      <c r="D40" s="7">
        <v>34121</v>
      </c>
      <c r="E40" s="7">
        <v>32390</v>
      </c>
      <c r="F40" s="7">
        <v>8101</v>
      </c>
      <c r="G40" s="7">
        <f t="shared" si="2"/>
        <v>171228</v>
      </c>
      <c r="I40" s="7">
        <v>39167</v>
      </c>
      <c r="J40" s="7">
        <v>63092</v>
      </c>
      <c r="K40" s="7">
        <v>36448</v>
      </c>
      <c r="L40" s="7">
        <v>34931</v>
      </c>
      <c r="M40" s="7">
        <v>8035</v>
      </c>
      <c r="N40" s="7">
        <f t="shared" si="3"/>
        <v>181673</v>
      </c>
    </row>
    <row r="41" spans="1:14" x14ac:dyDescent="0.25">
      <c r="A41" s="12" t="s">
        <v>153</v>
      </c>
      <c r="B41" s="7">
        <v>37759</v>
      </c>
      <c r="C41" s="7">
        <v>58984</v>
      </c>
      <c r="D41" s="7">
        <v>34206</v>
      </c>
      <c r="E41" s="7">
        <v>32487</v>
      </c>
      <c r="F41" s="7">
        <v>8278</v>
      </c>
      <c r="G41" s="7">
        <f t="shared" si="2"/>
        <v>171714</v>
      </c>
      <c r="I41" s="7">
        <v>39152</v>
      </c>
      <c r="J41" s="7">
        <v>63365</v>
      </c>
      <c r="K41" s="7">
        <v>36537</v>
      </c>
      <c r="L41" s="7">
        <v>34962</v>
      </c>
      <c r="M41" s="7">
        <v>8089</v>
      </c>
      <c r="N41" s="7">
        <f t="shared" si="3"/>
        <v>182105</v>
      </c>
    </row>
    <row r="42" spans="1:14" x14ac:dyDescent="0.25">
      <c r="A42" s="12" t="s">
        <v>154</v>
      </c>
      <c r="B42" s="7">
        <v>37784</v>
      </c>
      <c r="C42" s="7">
        <v>59059</v>
      </c>
      <c r="D42" s="7">
        <v>34251</v>
      </c>
      <c r="E42" s="7">
        <v>32541</v>
      </c>
      <c r="F42" s="7">
        <v>8293</v>
      </c>
      <c r="G42" s="7">
        <f t="shared" si="2"/>
        <v>171928</v>
      </c>
      <c r="I42" s="7">
        <v>39184</v>
      </c>
      <c r="J42" s="7">
        <v>63459</v>
      </c>
      <c r="K42" s="7">
        <v>36580</v>
      </c>
      <c r="L42" s="7">
        <v>34943</v>
      </c>
      <c r="M42" s="7">
        <v>8109</v>
      </c>
      <c r="N42" s="7">
        <f t="shared" si="3"/>
        <v>182275</v>
      </c>
    </row>
    <row r="43" spans="1:14" x14ac:dyDescent="0.25">
      <c r="A43" s="12" t="s">
        <v>155</v>
      </c>
      <c r="B43" s="7">
        <v>37809</v>
      </c>
      <c r="C43" s="7">
        <v>59250</v>
      </c>
      <c r="D43" s="7">
        <v>34364</v>
      </c>
      <c r="E43" s="7">
        <v>32681</v>
      </c>
      <c r="F43" s="7">
        <v>8290</v>
      </c>
      <c r="G43" s="7">
        <f t="shared" si="2"/>
        <v>172394</v>
      </c>
      <c r="I43" s="7">
        <v>39214</v>
      </c>
      <c r="J43" s="7">
        <v>63752</v>
      </c>
      <c r="K43" s="7">
        <v>36735</v>
      </c>
      <c r="L43" s="7">
        <v>35055</v>
      </c>
      <c r="M43" s="7">
        <v>8104</v>
      </c>
      <c r="N43" s="7">
        <f t="shared" si="3"/>
        <v>182860</v>
      </c>
    </row>
    <row r="44" spans="1:14" x14ac:dyDescent="0.25">
      <c r="A44" s="12" t="s">
        <v>156</v>
      </c>
      <c r="B44" s="7">
        <v>37834</v>
      </c>
      <c r="C44" s="7">
        <v>59361</v>
      </c>
      <c r="D44" s="7">
        <v>34537</v>
      </c>
      <c r="E44" s="7">
        <v>32911</v>
      </c>
      <c r="F44" s="7">
        <v>8287</v>
      </c>
      <c r="G44" s="7">
        <f t="shared" si="2"/>
        <v>172930</v>
      </c>
      <c r="I44" s="7">
        <v>39246</v>
      </c>
      <c r="J44" s="7">
        <v>63831</v>
      </c>
      <c r="K44" s="7">
        <v>37013</v>
      </c>
      <c r="L44" s="7">
        <v>35126</v>
      </c>
      <c r="M44" s="7">
        <v>8099</v>
      </c>
      <c r="N44" s="7">
        <f t="shared" si="3"/>
        <v>183315</v>
      </c>
    </row>
    <row r="45" spans="1:14" x14ac:dyDescent="0.25">
      <c r="A45" s="12" t="s">
        <v>157</v>
      </c>
      <c r="B45" s="7">
        <v>38351</v>
      </c>
      <c r="C45" s="7">
        <v>59472</v>
      </c>
      <c r="D45" s="7">
        <v>34456</v>
      </c>
      <c r="E45" s="7">
        <v>33099</v>
      </c>
      <c r="F45" s="7">
        <v>8297</v>
      </c>
      <c r="G45" s="7">
        <f t="shared" si="2"/>
        <v>173675</v>
      </c>
      <c r="I45" s="7">
        <v>40964</v>
      </c>
      <c r="J45" s="7">
        <v>63910</v>
      </c>
      <c r="K45" s="7">
        <v>36847</v>
      </c>
      <c r="L45" s="7">
        <v>35300</v>
      </c>
      <c r="M45" s="7">
        <v>8143</v>
      </c>
      <c r="N45" s="7">
        <f t="shared" si="3"/>
        <v>185164</v>
      </c>
    </row>
    <row r="46" spans="1:14" x14ac:dyDescent="0.25">
      <c r="A46" s="12" t="s">
        <v>158</v>
      </c>
      <c r="B46" s="7">
        <v>38553</v>
      </c>
      <c r="C46" s="7">
        <v>59675</v>
      </c>
      <c r="D46" s="7">
        <v>34539</v>
      </c>
      <c r="E46" s="7">
        <v>33166</v>
      </c>
      <c r="F46" s="7">
        <v>8366</v>
      </c>
      <c r="G46" s="7">
        <f t="shared" si="2"/>
        <v>174299</v>
      </c>
      <c r="I46" s="7">
        <v>41164</v>
      </c>
      <c r="J46" s="7">
        <v>64350</v>
      </c>
      <c r="K46" s="7">
        <v>36888</v>
      </c>
      <c r="L46" s="7">
        <v>35343</v>
      </c>
      <c r="M46" s="7">
        <v>8350</v>
      </c>
      <c r="N46" s="7">
        <f t="shared" si="3"/>
        <v>186095</v>
      </c>
    </row>
    <row r="47" spans="1:14" x14ac:dyDescent="0.25">
      <c r="A47" s="12" t="s">
        <v>159</v>
      </c>
      <c r="B47" s="7">
        <v>40738</v>
      </c>
      <c r="C47" s="7">
        <v>59373</v>
      </c>
      <c r="D47" s="7">
        <v>35158</v>
      </c>
      <c r="E47" s="7">
        <v>32379</v>
      </c>
      <c r="F47" s="7">
        <v>8368</v>
      </c>
      <c r="G47" s="7">
        <f t="shared" si="2"/>
        <v>176016</v>
      </c>
      <c r="I47" s="7">
        <v>43319</v>
      </c>
      <c r="J47" s="7">
        <v>64294</v>
      </c>
      <c r="K47" s="7">
        <v>37123</v>
      </c>
      <c r="L47" s="7">
        <v>35183</v>
      </c>
      <c r="M47" s="7">
        <v>8347</v>
      </c>
      <c r="N47" s="7">
        <f t="shared" si="3"/>
        <v>188266</v>
      </c>
    </row>
    <row r="48" spans="1:14" x14ac:dyDescent="0.25">
      <c r="A48" s="12" t="s">
        <v>160</v>
      </c>
      <c r="B48" s="7">
        <v>41384</v>
      </c>
      <c r="C48" s="7">
        <v>58851</v>
      </c>
      <c r="D48" s="7">
        <v>35279</v>
      </c>
      <c r="E48" s="7">
        <v>32417</v>
      </c>
      <c r="F48" s="7">
        <v>8369</v>
      </c>
      <c r="G48" s="7">
        <f t="shared" si="2"/>
        <v>176300</v>
      </c>
      <c r="I48" s="7">
        <v>43530</v>
      </c>
      <c r="J48" s="7">
        <v>63598</v>
      </c>
      <c r="K48" s="7">
        <v>37253</v>
      </c>
      <c r="L48" s="7">
        <v>35225</v>
      </c>
      <c r="M48" s="7">
        <v>8344</v>
      </c>
      <c r="N48" s="7">
        <f t="shared" si="3"/>
        <v>187950</v>
      </c>
    </row>
    <row r="49" spans="1:14" x14ac:dyDescent="0.25">
      <c r="A49" s="12" t="s">
        <v>161</v>
      </c>
      <c r="B49" s="7">
        <v>41368</v>
      </c>
      <c r="C49" s="7">
        <v>59089</v>
      </c>
      <c r="D49" s="7">
        <v>35364</v>
      </c>
      <c r="E49" s="7">
        <v>32513</v>
      </c>
      <c r="F49" s="7">
        <v>8370</v>
      </c>
      <c r="G49" s="7">
        <f t="shared" si="2"/>
        <v>176704</v>
      </c>
      <c r="I49" s="7">
        <v>43506</v>
      </c>
      <c r="J49" s="7">
        <v>64016</v>
      </c>
      <c r="K49" s="7">
        <v>37283</v>
      </c>
      <c r="L49" s="7">
        <v>35272</v>
      </c>
      <c r="M49" s="7">
        <v>8341</v>
      </c>
      <c r="N49" s="7">
        <f t="shared" si="3"/>
        <v>188418</v>
      </c>
    </row>
    <row r="50" spans="1:14" x14ac:dyDescent="0.25">
      <c r="A50" s="12" t="s">
        <v>162</v>
      </c>
      <c r="B50" s="7">
        <v>41407</v>
      </c>
      <c r="C50" s="7">
        <v>59207</v>
      </c>
      <c r="D50" s="7">
        <v>35547</v>
      </c>
      <c r="E50" s="7">
        <v>32431</v>
      </c>
      <c r="F50" s="7">
        <v>8372</v>
      </c>
      <c r="G50" s="7">
        <f t="shared" si="2"/>
        <v>176964</v>
      </c>
      <c r="I50" s="7">
        <v>43555</v>
      </c>
      <c r="J50" s="7">
        <v>64179</v>
      </c>
      <c r="K50" s="7">
        <v>37488</v>
      </c>
      <c r="L50" s="7">
        <v>35579</v>
      </c>
      <c r="M50" s="7">
        <v>8338</v>
      </c>
      <c r="N50" s="7">
        <f t="shared" si="3"/>
        <v>189139</v>
      </c>
    </row>
    <row r="51" spans="1:14" x14ac:dyDescent="0.25">
      <c r="A51" s="12" t="s">
        <v>163</v>
      </c>
      <c r="B51" s="7">
        <v>41478</v>
      </c>
      <c r="C51" s="7">
        <v>58823</v>
      </c>
      <c r="D51" s="7">
        <v>35633</v>
      </c>
      <c r="E51" s="7">
        <v>32529</v>
      </c>
      <c r="F51" s="7">
        <v>8373</v>
      </c>
      <c r="G51" s="7">
        <f t="shared" si="2"/>
        <v>176836</v>
      </c>
      <c r="I51" s="7">
        <v>43602</v>
      </c>
      <c r="J51" s="7">
        <v>64213</v>
      </c>
      <c r="K51" s="7">
        <v>37519</v>
      </c>
      <c r="L51" s="7">
        <v>35635</v>
      </c>
      <c r="M51" s="7">
        <v>8336</v>
      </c>
      <c r="N51" s="7">
        <f t="shared" si="3"/>
        <v>189305</v>
      </c>
    </row>
    <row r="52" spans="1:14" x14ac:dyDescent="0.25">
      <c r="A52" s="12" t="s">
        <v>164</v>
      </c>
      <c r="B52" s="7">
        <v>41656</v>
      </c>
      <c r="C52" s="7">
        <v>59209</v>
      </c>
      <c r="D52" s="7">
        <v>35718</v>
      </c>
      <c r="E52" s="7">
        <v>32697</v>
      </c>
      <c r="F52" s="7">
        <v>8374</v>
      </c>
      <c r="G52" s="7">
        <f t="shared" si="2"/>
        <v>177654</v>
      </c>
      <c r="I52" s="7">
        <v>43979</v>
      </c>
      <c r="J52" s="7">
        <v>63930</v>
      </c>
      <c r="K52" s="7">
        <v>37550</v>
      </c>
      <c r="L52" s="7">
        <v>35682</v>
      </c>
      <c r="M52" s="7">
        <v>8333</v>
      </c>
      <c r="N52" s="7">
        <f t="shared" si="3"/>
        <v>189474</v>
      </c>
    </row>
    <row r="53" spans="1:14" x14ac:dyDescent="0.25">
      <c r="A53" s="12" t="s">
        <v>165</v>
      </c>
      <c r="B53" s="7">
        <v>41696</v>
      </c>
      <c r="C53" s="7">
        <v>59171</v>
      </c>
      <c r="D53" s="7">
        <v>35804</v>
      </c>
      <c r="E53" s="7">
        <v>32796</v>
      </c>
      <c r="F53" s="7">
        <v>8374</v>
      </c>
      <c r="G53" s="7">
        <f t="shared" si="2"/>
        <v>177841</v>
      </c>
      <c r="I53" s="7">
        <v>44029</v>
      </c>
      <c r="J53" s="7">
        <v>64010</v>
      </c>
      <c r="K53" s="7">
        <v>37581</v>
      </c>
      <c r="L53" s="7">
        <v>35736</v>
      </c>
      <c r="M53" s="7">
        <v>8327</v>
      </c>
      <c r="N53" s="7">
        <f t="shared" si="3"/>
        <v>189683</v>
      </c>
    </row>
    <row r="54" spans="1:14" x14ac:dyDescent="0.25">
      <c r="A54" s="12" t="s">
        <v>166</v>
      </c>
      <c r="B54" s="7">
        <v>42434</v>
      </c>
      <c r="C54" s="7">
        <v>59264</v>
      </c>
      <c r="D54" s="7">
        <v>35789</v>
      </c>
      <c r="E54" s="7">
        <v>32895</v>
      </c>
      <c r="F54" s="7">
        <v>8490</v>
      </c>
      <c r="G54" s="7">
        <f t="shared" si="2"/>
        <v>178872</v>
      </c>
      <c r="I54" s="7">
        <v>45450</v>
      </c>
      <c r="J54" s="7">
        <v>64047</v>
      </c>
      <c r="K54" s="7">
        <v>37809</v>
      </c>
      <c r="L54" s="7">
        <v>35790</v>
      </c>
      <c r="M54" s="7">
        <v>8841</v>
      </c>
      <c r="N54" s="7">
        <f t="shared" si="3"/>
        <v>191937</v>
      </c>
    </row>
    <row r="55" spans="1:14" x14ac:dyDescent="0.25">
      <c r="A55" s="12" t="s">
        <v>167</v>
      </c>
      <c r="B55" s="7">
        <v>42412</v>
      </c>
      <c r="C55" s="7">
        <v>59242</v>
      </c>
      <c r="D55" s="7">
        <v>35817</v>
      </c>
      <c r="E55" s="7">
        <v>32785</v>
      </c>
      <c r="F55" s="7">
        <v>8508</v>
      </c>
      <c r="G55" s="7">
        <f t="shared" si="2"/>
        <v>178764</v>
      </c>
      <c r="I55" s="7">
        <v>45462</v>
      </c>
      <c r="J55" s="7">
        <v>64304</v>
      </c>
      <c r="K55" s="7">
        <v>37784</v>
      </c>
      <c r="L55" s="7">
        <v>35839</v>
      </c>
      <c r="M55" s="7">
        <v>8838</v>
      </c>
      <c r="N55" s="7">
        <f t="shared" si="3"/>
        <v>192227</v>
      </c>
    </row>
    <row r="56" spans="1:14" x14ac:dyDescent="0.25">
      <c r="A56" s="12" t="s">
        <v>168</v>
      </c>
      <c r="B56" s="7">
        <v>42463</v>
      </c>
      <c r="C56" s="7">
        <v>59296</v>
      </c>
      <c r="D56" s="7">
        <v>35901</v>
      </c>
      <c r="E56" s="7">
        <v>32881</v>
      </c>
      <c r="F56" s="7">
        <v>8546</v>
      </c>
      <c r="G56" s="7">
        <f t="shared" si="2"/>
        <v>179087</v>
      </c>
      <c r="I56" s="7">
        <v>45529</v>
      </c>
      <c r="J56" s="7">
        <v>64329</v>
      </c>
      <c r="K56" s="7">
        <v>37821</v>
      </c>
      <c r="L56" s="7">
        <v>35897</v>
      </c>
      <c r="M56" s="7">
        <v>9029</v>
      </c>
      <c r="N56" s="7">
        <f t="shared" si="3"/>
        <v>192605</v>
      </c>
    </row>
    <row r="57" spans="1:14" x14ac:dyDescent="0.25">
      <c r="A57" s="12" t="s">
        <v>169</v>
      </c>
      <c r="B57" s="7">
        <v>42515</v>
      </c>
      <c r="C57" s="7">
        <v>59205</v>
      </c>
      <c r="D57" s="7">
        <v>35979</v>
      </c>
      <c r="E57" s="7">
        <v>32924</v>
      </c>
      <c r="F57" s="7">
        <v>8566</v>
      </c>
      <c r="G57" s="7">
        <f t="shared" si="2"/>
        <v>179189</v>
      </c>
      <c r="I57" s="7">
        <v>45596</v>
      </c>
      <c r="J57" s="7">
        <v>64027</v>
      </c>
      <c r="K57" s="7">
        <v>38087</v>
      </c>
      <c r="L57" s="7">
        <v>35929</v>
      </c>
      <c r="M57" s="7">
        <v>9030</v>
      </c>
      <c r="N57" s="7">
        <f t="shared" si="3"/>
        <v>192669</v>
      </c>
    </row>
    <row r="58" spans="1:14" x14ac:dyDescent="0.25">
      <c r="A58" s="12" t="s">
        <v>170</v>
      </c>
      <c r="B58" s="7">
        <v>42636</v>
      </c>
      <c r="C58" s="7">
        <v>59436</v>
      </c>
      <c r="D58" s="7">
        <v>35288</v>
      </c>
      <c r="E58" s="7">
        <v>33328</v>
      </c>
      <c r="F58" s="7">
        <v>8582</v>
      </c>
      <c r="G58" s="7">
        <f t="shared" si="2"/>
        <v>179270</v>
      </c>
      <c r="I58" s="7">
        <v>45383</v>
      </c>
      <c r="J58" s="7">
        <v>64126</v>
      </c>
      <c r="K58" s="7">
        <v>37318</v>
      </c>
      <c r="L58" s="7">
        <v>36171</v>
      </c>
      <c r="M58" s="7">
        <v>9059</v>
      </c>
      <c r="N58" s="7">
        <f t="shared" si="3"/>
        <v>192057</v>
      </c>
    </row>
    <row r="59" spans="1:14" x14ac:dyDescent="0.25">
      <c r="A59" s="12" t="s">
        <v>171</v>
      </c>
      <c r="B59" s="7">
        <v>42687</v>
      </c>
      <c r="C59" s="7">
        <v>59576</v>
      </c>
      <c r="D59" s="7">
        <v>35358</v>
      </c>
      <c r="E59" s="7">
        <v>33367</v>
      </c>
      <c r="F59" s="7">
        <v>8535</v>
      </c>
      <c r="G59" s="7">
        <f t="shared" si="2"/>
        <v>179523</v>
      </c>
      <c r="I59" s="7">
        <v>45833</v>
      </c>
      <c r="J59" s="7">
        <v>64290</v>
      </c>
      <c r="K59" s="7">
        <v>37343</v>
      </c>
      <c r="L59" s="7">
        <v>36183</v>
      </c>
      <c r="M59" s="7">
        <v>8961</v>
      </c>
      <c r="N59" s="7">
        <f t="shared" si="3"/>
        <v>192610</v>
      </c>
    </row>
    <row r="60" spans="1:14" x14ac:dyDescent="0.25">
      <c r="A60" s="12" t="s">
        <v>172</v>
      </c>
      <c r="B60" s="7">
        <v>42731</v>
      </c>
      <c r="C60" s="7">
        <v>59412</v>
      </c>
      <c r="D60" s="7">
        <v>35720</v>
      </c>
      <c r="E60" s="7">
        <v>33449</v>
      </c>
      <c r="F60" s="7">
        <v>8553</v>
      </c>
      <c r="G60" s="7">
        <f t="shared" si="2"/>
        <v>179865</v>
      </c>
      <c r="I60" s="7">
        <v>45881</v>
      </c>
      <c r="J60" s="7">
        <v>64216</v>
      </c>
      <c r="K60" s="7">
        <v>37955</v>
      </c>
      <c r="L60" s="7">
        <v>36145</v>
      </c>
      <c r="M60" s="7">
        <v>8963</v>
      </c>
      <c r="N60" s="7">
        <f t="shared" si="3"/>
        <v>193160</v>
      </c>
    </row>
    <row r="61" spans="1:14" x14ac:dyDescent="0.25">
      <c r="A61" s="12" t="s">
        <v>173</v>
      </c>
      <c r="B61" s="7">
        <v>44642</v>
      </c>
      <c r="C61" s="7">
        <v>60187</v>
      </c>
      <c r="D61" s="7">
        <v>40637</v>
      </c>
      <c r="E61" s="7">
        <v>34670</v>
      </c>
      <c r="F61" s="7">
        <v>8572</v>
      </c>
      <c r="G61" s="7">
        <f t="shared" si="2"/>
        <v>188708</v>
      </c>
      <c r="I61" s="7">
        <v>48079</v>
      </c>
      <c r="J61" s="7">
        <v>64264</v>
      </c>
      <c r="K61" s="7">
        <v>42521</v>
      </c>
      <c r="L61" s="7">
        <v>37458</v>
      </c>
      <c r="M61" s="7">
        <v>8966</v>
      </c>
      <c r="N61" s="7">
        <f t="shared" si="3"/>
        <v>201288</v>
      </c>
    </row>
    <row r="62" spans="1:14" x14ac:dyDescent="0.25">
      <c r="A62" s="12" t="s">
        <v>174</v>
      </c>
      <c r="B62" s="7">
        <v>44822</v>
      </c>
      <c r="C62" s="7">
        <v>59501</v>
      </c>
      <c r="D62" s="7">
        <v>41331</v>
      </c>
      <c r="E62" s="7">
        <v>34933</v>
      </c>
      <c r="F62" s="7">
        <v>8591</v>
      </c>
      <c r="G62" s="7">
        <f t="shared" si="2"/>
        <v>189178</v>
      </c>
      <c r="I62" s="7">
        <v>48522</v>
      </c>
      <c r="J62" s="7">
        <v>64092</v>
      </c>
      <c r="K62" s="7">
        <v>43340</v>
      </c>
      <c r="L62" s="7">
        <v>37746</v>
      </c>
      <c r="M62" s="7">
        <v>8968</v>
      </c>
      <c r="N62" s="7">
        <f t="shared" si="3"/>
        <v>202668</v>
      </c>
    </row>
    <row r="63" spans="1:14" x14ac:dyDescent="0.25">
      <c r="A63" s="12" t="s">
        <v>175</v>
      </c>
      <c r="B63" s="7">
        <v>44517</v>
      </c>
      <c r="C63" s="7">
        <v>59717</v>
      </c>
      <c r="D63" s="7">
        <v>41475</v>
      </c>
      <c r="E63" s="7">
        <v>34980</v>
      </c>
      <c r="F63" s="7">
        <v>8610</v>
      </c>
      <c r="G63" s="7">
        <f t="shared" si="2"/>
        <v>189299</v>
      </c>
      <c r="I63" s="7">
        <v>47894</v>
      </c>
      <c r="J63" s="7">
        <v>64688</v>
      </c>
      <c r="K63" s="7">
        <v>43660</v>
      </c>
      <c r="L63" s="7">
        <v>37821</v>
      </c>
      <c r="M63" s="7">
        <v>8970</v>
      </c>
      <c r="N63" s="7">
        <f t="shared" si="3"/>
        <v>203033</v>
      </c>
    </row>
    <row r="64" spans="1:14" x14ac:dyDescent="0.25">
      <c r="A64" s="12" t="s">
        <v>176</v>
      </c>
      <c r="B64" s="7">
        <v>44562</v>
      </c>
      <c r="C64" s="7">
        <v>59573</v>
      </c>
      <c r="D64" s="7">
        <v>41222</v>
      </c>
      <c r="E64" s="7">
        <v>34775</v>
      </c>
      <c r="F64" s="7">
        <v>8628</v>
      </c>
      <c r="G64" s="7">
        <f t="shared" si="2"/>
        <v>188760</v>
      </c>
      <c r="I64" s="7">
        <v>47933</v>
      </c>
      <c r="J64" s="7">
        <v>64717</v>
      </c>
      <c r="K64" s="7">
        <v>43491</v>
      </c>
      <c r="L64" s="7">
        <v>37430</v>
      </c>
      <c r="M64" s="7">
        <v>8972</v>
      </c>
      <c r="N64" s="7">
        <f t="shared" si="3"/>
        <v>202543</v>
      </c>
    </row>
    <row r="65" spans="1:14" x14ac:dyDescent="0.25">
      <c r="A65" s="12" t="s">
        <v>177</v>
      </c>
      <c r="B65" s="7">
        <v>45917</v>
      </c>
      <c r="C65" s="7">
        <v>59684</v>
      </c>
      <c r="D65" s="7">
        <v>41990</v>
      </c>
      <c r="E65" s="7">
        <v>34860</v>
      </c>
      <c r="F65" s="7">
        <v>8647</v>
      </c>
      <c r="G65" s="7">
        <f t="shared" si="2"/>
        <v>191098</v>
      </c>
      <c r="I65" s="7">
        <v>48536</v>
      </c>
      <c r="J65" s="7">
        <v>64741</v>
      </c>
      <c r="K65" s="7">
        <v>44090</v>
      </c>
      <c r="L65" s="7">
        <v>37465</v>
      </c>
      <c r="M65" s="7">
        <v>8974</v>
      </c>
      <c r="N65" s="7">
        <f t="shared" si="3"/>
        <v>203806</v>
      </c>
    </row>
    <row r="66" spans="1:14" x14ac:dyDescent="0.25">
      <c r="A66" s="12" t="s">
        <v>178</v>
      </c>
      <c r="B66" s="7">
        <v>45629</v>
      </c>
      <c r="C66" s="7">
        <v>60201</v>
      </c>
      <c r="D66" s="7">
        <v>42084</v>
      </c>
      <c r="E66" s="7">
        <v>34915</v>
      </c>
      <c r="F66" s="7">
        <v>8665</v>
      </c>
      <c r="G66" s="7">
        <f t="shared" si="2"/>
        <v>191494</v>
      </c>
      <c r="I66" s="7">
        <v>49817</v>
      </c>
      <c r="J66" s="7">
        <v>64737</v>
      </c>
      <c r="K66" s="7">
        <v>44249</v>
      </c>
      <c r="L66" s="7">
        <v>37563</v>
      </c>
      <c r="M66" s="7">
        <v>8975</v>
      </c>
      <c r="N66" s="7">
        <f t="shared" si="3"/>
        <v>205341</v>
      </c>
    </row>
    <row r="67" spans="1:14" x14ac:dyDescent="0.25">
      <c r="A67" s="12" t="s">
        <v>179</v>
      </c>
      <c r="B67" s="7">
        <v>45747</v>
      </c>
      <c r="C67" s="7">
        <v>60343</v>
      </c>
      <c r="D67" s="7">
        <v>42158</v>
      </c>
      <c r="E67" s="7">
        <v>34962</v>
      </c>
      <c r="F67" s="7">
        <v>9052</v>
      </c>
      <c r="G67" s="7">
        <f t="shared" si="2"/>
        <v>192262</v>
      </c>
      <c r="I67" s="7">
        <v>49886</v>
      </c>
      <c r="J67" s="7">
        <v>64804</v>
      </c>
      <c r="K67" s="7">
        <v>44295</v>
      </c>
      <c r="L67" s="7">
        <v>37611</v>
      </c>
      <c r="M67" s="7">
        <v>9671</v>
      </c>
      <c r="N67" s="7">
        <f t="shared" si="3"/>
        <v>206267</v>
      </c>
    </row>
    <row r="68" spans="1:14" x14ac:dyDescent="0.25">
      <c r="A68" s="12" t="s">
        <v>180</v>
      </c>
      <c r="B68" s="7">
        <v>46002</v>
      </c>
      <c r="C68" s="7">
        <v>60288</v>
      </c>
      <c r="D68" s="7">
        <v>42202</v>
      </c>
      <c r="E68" s="7">
        <v>35006</v>
      </c>
      <c r="F68" s="7">
        <v>9157</v>
      </c>
      <c r="G68" s="7">
        <f t="shared" si="2"/>
        <v>192655</v>
      </c>
      <c r="I68" s="7">
        <v>50163</v>
      </c>
      <c r="J68" s="7">
        <v>64601</v>
      </c>
      <c r="K68" s="7">
        <v>44327</v>
      </c>
      <c r="L68" s="7">
        <v>37663</v>
      </c>
      <c r="M68" s="7">
        <v>9791</v>
      </c>
      <c r="N68" s="7">
        <f t="shared" si="3"/>
        <v>206545</v>
      </c>
    </row>
    <row r="69" spans="1:14" x14ac:dyDescent="0.25">
      <c r="A69" s="12" t="s">
        <v>181</v>
      </c>
      <c r="B69" s="7">
        <v>45978</v>
      </c>
      <c r="C69" s="7">
        <v>60339</v>
      </c>
      <c r="D69" s="7">
        <v>42245</v>
      </c>
      <c r="E69" s="7">
        <v>34939</v>
      </c>
      <c r="F69" s="7">
        <v>9143</v>
      </c>
      <c r="G69" s="7">
        <f t="shared" ref="G69:G100" si="4">SUM(B69:F69)</f>
        <v>192644</v>
      </c>
      <c r="I69" s="7">
        <v>50151</v>
      </c>
      <c r="J69" s="7">
        <v>64611</v>
      </c>
      <c r="K69" s="7">
        <v>44359</v>
      </c>
      <c r="L69" s="7">
        <v>37626</v>
      </c>
      <c r="M69" s="7">
        <v>9740</v>
      </c>
      <c r="N69" s="7">
        <f t="shared" ref="N69:N100" si="5">SUM(I69:M69)</f>
        <v>206487</v>
      </c>
    </row>
    <row r="70" spans="1:14" x14ac:dyDescent="0.25">
      <c r="A70" s="12" t="s">
        <v>182</v>
      </c>
      <c r="B70" s="7">
        <v>46043</v>
      </c>
      <c r="C70" s="7">
        <v>60164</v>
      </c>
      <c r="D70" s="7">
        <v>42283</v>
      </c>
      <c r="E70" s="7">
        <v>34992</v>
      </c>
      <c r="F70" s="7">
        <v>9186</v>
      </c>
      <c r="G70" s="7">
        <f t="shared" si="4"/>
        <v>192668</v>
      </c>
      <c r="I70" s="7">
        <v>50237</v>
      </c>
      <c r="J70" s="7">
        <v>64336</v>
      </c>
      <c r="K70" s="7">
        <v>44574</v>
      </c>
      <c r="L70" s="7">
        <v>37713</v>
      </c>
      <c r="M70" s="7">
        <v>9745</v>
      </c>
      <c r="N70" s="7">
        <f t="shared" si="5"/>
        <v>206605</v>
      </c>
    </row>
    <row r="71" spans="1:14" x14ac:dyDescent="0.25">
      <c r="A71" s="12" t="s">
        <v>183</v>
      </c>
      <c r="B71" s="7">
        <v>45953</v>
      </c>
      <c r="C71" s="7">
        <v>60481</v>
      </c>
      <c r="D71" s="7">
        <v>42107</v>
      </c>
      <c r="E71" s="7">
        <v>35063</v>
      </c>
      <c r="F71" s="7">
        <v>9229</v>
      </c>
      <c r="G71" s="7">
        <f t="shared" si="4"/>
        <v>192833</v>
      </c>
      <c r="I71" s="7">
        <v>50283</v>
      </c>
      <c r="J71" s="7">
        <v>64633</v>
      </c>
      <c r="K71" s="7">
        <v>44277</v>
      </c>
      <c r="L71" s="7">
        <v>37809</v>
      </c>
      <c r="M71" s="7">
        <v>9750</v>
      </c>
      <c r="N71" s="7">
        <f t="shared" si="5"/>
        <v>206752</v>
      </c>
    </row>
    <row r="72" spans="1:14" x14ac:dyDescent="0.25">
      <c r="A72" s="12" t="s">
        <v>184</v>
      </c>
      <c r="B72" s="7">
        <v>46016</v>
      </c>
      <c r="C72" s="7">
        <v>60117</v>
      </c>
      <c r="D72" s="7">
        <v>42187</v>
      </c>
      <c r="E72" s="7">
        <v>35340</v>
      </c>
      <c r="F72" s="7">
        <v>9265</v>
      </c>
      <c r="G72" s="7">
        <f t="shared" si="4"/>
        <v>192925</v>
      </c>
      <c r="I72" s="7">
        <v>50374</v>
      </c>
      <c r="J72" s="7">
        <v>63965</v>
      </c>
      <c r="K72" s="7">
        <v>44187</v>
      </c>
      <c r="L72" s="7">
        <v>38140</v>
      </c>
      <c r="M72" s="7">
        <v>9778</v>
      </c>
      <c r="N72" s="7">
        <f t="shared" si="5"/>
        <v>206444</v>
      </c>
    </row>
    <row r="73" spans="1:14" x14ac:dyDescent="0.25">
      <c r="A73" s="12" t="s">
        <v>185</v>
      </c>
      <c r="B73" s="7">
        <v>49074</v>
      </c>
      <c r="C73" s="7">
        <v>60790</v>
      </c>
      <c r="D73" s="7">
        <v>46210</v>
      </c>
      <c r="E73" s="7">
        <v>37586</v>
      </c>
      <c r="F73" s="7">
        <v>9308</v>
      </c>
      <c r="G73" s="7">
        <f t="shared" si="4"/>
        <v>202968</v>
      </c>
      <c r="I73" s="7">
        <v>54417</v>
      </c>
      <c r="J73" s="7">
        <v>64536</v>
      </c>
      <c r="K73" s="7">
        <v>48560</v>
      </c>
      <c r="L73" s="7">
        <v>41083</v>
      </c>
      <c r="M73" s="7">
        <v>9784</v>
      </c>
      <c r="N73" s="7">
        <f t="shared" si="5"/>
        <v>218380</v>
      </c>
    </row>
    <row r="74" spans="1:14" x14ac:dyDescent="0.25">
      <c r="A74" s="12" t="s">
        <v>186</v>
      </c>
      <c r="B74" s="7">
        <v>49875</v>
      </c>
      <c r="C74" s="7">
        <v>64138</v>
      </c>
      <c r="D74" s="7">
        <v>48473</v>
      </c>
      <c r="E74" s="7">
        <v>37853</v>
      </c>
      <c r="F74" s="7">
        <v>9351</v>
      </c>
      <c r="G74" s="7">
        <f t="shared" si="4"/>
        <v>209690</v>
      </c>
      <c r="I74" s="7">
        <v>54987</v>
      </c>
      <c r="J74" s="7">
        <v>67748</v>
      </c>
      <c r="K74" s="7">
        <v>49803</v>
      </c>
      <c r="L74" s="7">
        <v>41232</v>
      </c>
      <c r="M74" s="7">
        <v>9789</v>
      </c>
      <c r="N74" s="7">
        <f t="shared" si="5"/>
        <v>223559</v>
      </c>
    </row>
    <row r="75" spans="1:14" x14ac:dyDescent="0.25">
      <c r="A75" s="12" t="s">
        <v>187</v>
      </c>
      <c r="B75" s="7">
        <v>50368</v>
      </c>
      <c r="C75" s="7">
        <v>64128</v>
      </c>
      <c r="D75" s="7">
        <v>48119</v>
      </c>
      <c r="E75" s="7">
        <v>38599</v>
      </c>
      <c r="F75" s="7">
        <v>9394</v>
      </c>
      <c r="G75" s="7">
        <f t="shared" si="4"/>
        <v>210608</v>
      </c>
      <c r="I75" s="7">
        <v>55590</v>
      </c>
      <c r="J75" s="7">
        <v>67412</v>
      </c>
      <c r="K75" s="7">
        <v>49645</v>
      </c>
      <c r="L75" s="7">
        <v>41559</v>
      </c>
      <c r="M75" s="7">
        <v>9795</v>
      </c>
      <c r="N75" s="7">
        <f t="shared" si="5"/>
        <v>224001</v>
      </c>
    </row>
    <row r="76" spans="1:14" x14ac:dyDescent="0.25">
      <c r="A76" s="12" t="s">
        <v>188</v>
      </c>
      <c r="B76" s="7">
        <v>50507</v>
      </c>
      <c r="C76" s="7">
        <v>65295</v>
      </c>
      <c r="D76" s="7">
        <v>48337</v>
      </c>
      <c r="E76" s="7">
        <v>38718</v>
      </c>
      <c r="F76" s="7">
        <v>9437</v>
      </c>
      <c r="G76" s="7">
        <f t="shared" si="4"/>
        <v>212294</v>
      </c>
      <c r="I76" s="7">
        <v>55685</v>
      </c>
      <c r="J76" s="7">
        <v>68082</v>
      </c>
      <c r="K76" s="7">
        <v>50031</v>
      </c>
      <c r="L76" s="7">
        <v>41643</v>
      </c>
      <c r="M76" s="7">
        <v>9800</v>
      </c>
      <c r="N76" s="7">
        <f t="shared" si="5"/>
        <v>225241</v>
      </c>
    </row>
    <row r="77" spans="1:14" x14ac:dyDescent="0.25">
      <c r="A77" s="12" t="s">
        <v>189</v>
      </c>
      <c r="B77" s="7">
        <v>50829</v>
      </c>
      <c r="C77" s="7">
        <v>65192</v>
      </c>
      <c r="D77" s="7">
        <v>48378</v>
      </c>
      <c r="E77" s="7">
        <v>38825</v>
      </c>
      <c r="F77" s="7">
        <v>9480</v>
      </c>
      <c r="G77" s="7">
        <f t="shared" si="4"/>
        <v>212704</v>
      </c>
      <c r="I77" s="7">
        <v>55996</v>
      </c>
      <c r="J77" s="7">
        <v>67980</v>
      </c>
      <c r="K77" s="7">
        <v>50101</v>
      </c>
      <c r="L77" s="7">
        <v>41851</v>
      </c>
      <c r="M77" s="7">
        <v>9806</v>
      </c>
      <c r="N77" s="7">
        <f t="shared" si="5"/>
        <v>225734</v>
      </c>
    </row>
    <row r="78" spans="1:14" x14ac:dyDescent="0.25">
      <c r="A78" s="12" t="s">
        <v>190</v>
      </c>
      <c r="B78" s="7">
        <v>51750</v>
      </c>
      <c r="C78" s="7">
        <v>65284</v>
      </c>
      <c r="D78" s="7">
        <v>48570</v>
      </c>
      <c r="E78" s="7">
        <v>38913</v>
      </c>
      <c r="F78" s="7">
        <v>9523</v>
      </c>
      <c r="G78" s="7">
        <f t="shared" si="4"/>
        <v>214040</v>
      </c>
      <c r="I78" s="7">
        <v>56955</v>
      </c>
      <c r="J78" s="7">
        <v>67975</v>
      </c>
      <c r="K78" s="7">
        <v>50378</v>
      </c>
      <c r="L78" s="7">
        <v>41763</v>
      </c>
      <c r="M78" s="7">
        <v>9811</v>
      </c>
      <c r="N78" s="7">
        <f t="shared" si="5"/>
        <v>226882</v>
      </c>
    </row>
    <row r="79" spans="1:14" x14ac:dyDescent="0.25">
      <c r="A79" s="12" t="s">
        <v>191</v>
      </c>
      <c r="B79" s="7">
        <v>51974</v>
      </c>
      <c r="C79" s="7">
        <v>65376</v>
      </c>
      <c r="D79" s="7">
        <v>48694</v>
      </c>
      <c r="E79" s="7">
        <v>38975</v>
      </c>
      <c r="F79" s="7">
        <v>9526</v>
      </c>
      <c r="G79" s="7">
        <f t="shared" si="4"/>
        <v>214545</v>
      </c>
      <c r="I79" s="7">
        <v>57140</v>
      </c>
      <c r="J79" s="7">
        <v>67970</v>
      </c>
      <c r="K79" s="7">
        <v>50621</v>
      </c>
      <c r="L79" s="7">
        <v>41790</v>
      </c>
      <c r="M79" s="7">
        <v>9795</v>
      </c>
      <c r="N79" s="7">
        <f t="shared" si="5"/>
        <v>227316</v>
      </c>
    </row>
    <row r="80" spans="1:14" x14ac:dyDescent="0.25">
      <c r="A80" s="12" t="s">
        <v>192</v>
      </c>
      <c r="B80" s="7">
        <v>52138</v>
      </c>
      <c r="C80" s="7">
        <v>65594</v>
      </c>
      <c r="D80" s="7">
        <v>48675</v>
      </c>
      <c r="E80" s="7">
        <v>39042</v>
      </c>
      <c r="F80" s="7">
        <v>12857</v>
      </c>
      <c r="G80" s="7">
        <f t="shared" si="4"/>
        <v>218306</v>
      </c>
      <c r="I80" s="7">
        <v>57236</v>
      </c>
      <c r="J80" s="7">
        <v>68045</v>
      </c>
      <c r="K80" s="7">
        <v>50463</v>
      </c>
      <c r="L80" s="7">
        <v>41827</v>
      </c>
      <c r="M80" s="7">
        <v>12741</v>
      </c>
      <c r="N80" s="7">
        <f t="shared" si="5"/>
        <v>230312</v>
      </c>
    </row>
    <row r="81" spans="1:14" x14ac:dyDescent="0.25">
      <c r="A81" s="12" t="s">
        <v>193</v>
      </c>
      <c r="B81" s="7">
        <v>52301</v>
      </c>
      <c r="C81" s="7">
        <v>65687</v>
      </c>
      <c r="D81" s="7">
        <v>48714</v>
      </c>
      <c r="E81" s="7">
        <v>39145</v>
      </c>
      <c r="F81" s="7">
        <v>13058</v>
      </c>
      <c r="G81" s="7">
        <f t="shared" si="4"/>
        <v>218905</v>
      </c>
      <c r="I81" s="7">
        <v>57331</v>
      </c>
      <c r="J81" s="7">
        <v>68037</v>
      </c>
      <c r="K81" s="7">
        <v>50492</v>
      </c>
      <c r="L81" s="7">
        <v>41985</v>
      </c>
      <c r="M81" s="7">
        <v>12969</v>
      </c>
      <c r="N81" s="7">
        <f t="shared" si="5"/>
        <v>230814</v>
      </c>
    </row>
    <row r="82" spans="1:14" x14ac:dyDescent="0.25">
      <c r="A82" s="12" t="s">
        <v>194</v>
      </c>
      <c r="B82" s="7">
        <v>52222</v>
      </c>
      <c r="C82" s="7">
        <v>65848</v>
      </c>
      <c r="D82" s="7">
        <v>48760</v>
      </c>
      <c r="E82" s="7">
        <v>39197</v>
      </c>
      <c r="F82" s="7">
        <v>13206</v>
      </c>
      <c r="G82" s="7">
        <f t="shared" si="4"/>
        <v>219233</v>
      </c>
      <c r="I82" s="7">
        <v>57174</v>
      </c>
      <c r="J82" s="7">
        <v>68301</v>
      </c>
      <c r="K82" s="7">
        <v>50559</v>
      </c>
      <c r="L82" s="7">
        <v>41960</v>
      </c>
      <c r="M82" s="7">
        <v>13151</v>
      </c>
      <c r="N82" s="7">
        <f t="shared" si="5"/>
        <v>231145</v>
      </c>
    </row>
    <row r="83" spans="1:14" x14ac:dyDescent="0.25">
      <c r="A83" s="12" t="s">
        <v>195</v>
      </c>
      <c r="B83" s="7">
        <v>52175</v>
      </c>
      <c r="C83" s="7">
        <v>65948</v>
      </c>
      <c r="D83" s="7">
        <v>48800</v>
      </c>
      <c r="E83" s="7">
        <v>39383</v>
      </c>
      <c r="F83" s="7">
        <v>13204</v>
      </c>
      <c r="G83" s="7">
        <f t="shared" si="4"/>
        <v>219510</v>
      </c>
      <c r="I83" s="7">
        <v>57012</v>
      </c>
      <c r="J83" s="7">
        <v>68295</v>
      </c>
      <c r="K83" s="7">
        <v>50588</v>
      </c>
      <c r="L83" s="7">
        <v>42367</v>
      </c>
      <c r="M83" s="7">
        <v>13158</v>
      </c>
      <c r="N83" s="7">
        <f t="shared" si="5"/>
        <v>231420</v>
      </c>
    </row>
    <row r="84" spans="1:14" x14ac:dyDescent="0.25">
      <c r="A84" s="12" t="s">
        <v>196</v>
      </c>
      <c r="B84" s="7">
        <v>52636</v>
      </c>
      <c r="C84" s="7">
        <v>65861</v>
      </c>
      <c r="D84" s="7">
        <v>48797</v>
      </c>
      <c r="E84" s="7">
        <v>39470</v>
      </c>
      <c r="F84" s="7">
        <v>13235</v>
      </c>
      <c r="G84" s="7">
        <f t="shared" si="4"/>
        <v>219999</v>
      </c>
      <c r="I84" s="7">
        <v>58562</v>
      </c>
      <c r="J84" s="7">
        <v>67609</v>
      </c>
      <c r="K84" s="7">
        <v>50505</v>
      </c>
      <c r="L84" s="7">
        <v>42424</v>
      </c>
      <c r="M84" s="7">
        <v>13165</v>
      </c>
      <c r="N84" s="7">
        <f t="shared" si="5"/>
        <v>232265</v>
      </c>
    </row>
    <row r="85" spans="1:14" x14ac:dyDescent="0.25">
      <c r="A85" s="12" t="s">
        <v>197</v>
      </c>
      <c r="B85" s="7">
        <v>53186</v>
      </c>
      <c r="C85" s="7">
        <v>65975</v>
      </c>
      <c r="D85" s="7">
        <v>49133</v>
      </c>
      <c r="E85" s="7">
        <v>39617</v>
      </c>
      <c r="F85" s="7">
        <v>13233</v>
      </c>
      <c r="G85" s="7">
        <f t="shared" si="4"/>
        <v>221144</v>
      </c>
      <c r="I85" s="7">
        <v>58623</v>
      </c>
      <c r="J85" s="7">
        <v>67604</v>
      </c>
      <c r="K85" s="7">
        <v>51239</v>
      </c>
      <c r="L85" s="7">
        <v>42552</v>
      </c>
      <c r="M85" s="7">
        <v>13172</v>
      </c>
      <c r="N85" s="7">
        <f t="shared" si="5"/>
        <v>233190</v>
      </c>
    </row>
    <row r="86" spans="1:14" x14ac:dyDescent="0.25">
      <c r="A86" s="12" t="s">
        <v>198</v>
      </c>
      <c r="B86" s="7">
        <v>53298</v>
      </c>
      <c r="C86" s="7">
        <v>66130</v>
      </c>
      <c r="D86" s="7">
        <v>52420</v>
      </c>
      <c r="E86" s="7">
        <v>39697</v>
      </c>
      <c r="F86" s="7">
        <v>13231</v>
      </c>
      <c r="G86" s="7">
        <f t="shared" si="4"/>
        <v>224776</v>
      </c>
      <c r="I86" s="7">
        <v>58431</v>
      </c>
      <c r="J86" s="7">
        <v>67697</v>
      </c>
      <c r="K86" s="7">
        <v>55331</v>
      </c>
      <c r="L86" s="7">
        <v>42609</v>
      </c>
      <c r="M86" s="7">
        <v>13179</v>
      </c>
      <c r="N86" s="7">
        <f t="shared" si="5"/>
        <v>237247</v>
      </c>
    </row>
    <row r="87" spans="1:14" x14ac:dyDescent="0.25">
      <c r="A87" s="12" t="s">
        <v>199</v>
      </c>
      <c r="B87" s="7">
        <v>58459</v>
      </c>
      <c r="C87" s="7">
        <v>68929</v>
      </c>
      <c r="D87" s="7">
        <v>52278</v>
      </c>
      <c r="E87" s="7">
        <v>41766</v>
      </c>
      <c r="F87" s="7">
        <v>13242</v>
      </c>
      <c r="G87" s="7">
        <f t="shared" si="4"/>
        <v>234674</v>
      </c>
      <c r="I87" s="7">
        <v>62176</v>
      </c>
      <c r="J87" s="7">
        <v>71545</v>
      </c>
      <c r="K87" s="7">
        <v>54815</v>
      </c>
      <c r="L87" s="7">
        <v>45777</v>
      </c>
      <c r="M87" s="7">
        <v>13187</v>
      </c>
      <c r="N87" s="7">
        <f t="shared" si="5"/>
        <v>247500</v>
      </c>
    </row>
    <row r="88" spans="1:14" x14ac:dyDescent="0.25">
      <c r="A88" s="12" t="s">
        <v>200</v>
      </c>
      <c r="B88" s="7">
        <v>58673</v>
      </c>
      <c r="C88" s="7">
        <v>70208</v>
      </c>
      <c r="D88" s="7">
        <v>52384</v>
      </c>
      <c r="E88" s="7">
        <v>41896</v>
      </c>
      <c r="F88" s="7">
        <v>13239</v>
      </c>
      <c r="G88" s="7">
        <f t="shared" si="4"/>
        <v>236400</v>
      </c>
      <c r="I88" s="7">
        <v>62335</v>
      </c>
      <c r="J88" s="7">
        <v>72402</v>
      </c>
      <c r="K88" s="7">
        <v>55151</v>
      </c>
      <c r="L88" s="7">
        <v>45772</v>
      </c>
      <c r="M88" s="7">
        <v>13194</v>
      </c>
      <c r="N88" s="7">
        <f t="shared" si="5"/>
        <v>248854</v>
      </c>
    </row>
    <row r="89" spans="1:14" x14ac:dyDescent="0.25">
      <c r="A89" s="12" t="s">
        <v>201</v>
      </c>
      <c r="B89" s="7">
        <v>58746</v>
      </c>
      <c r="C89" s="7">
        <v>70340</v>
      </c>
      <c r="D89" s="7">
        <v>52451</v>
      </c>
      <c r="E89" s="7">
        <v>42581</v>
      </c>
      <c r="F89" s="7">
        <v>13236</v>
      </c>
      <c r="G89" s="7">
        <f t="shared" si="4"/>
        <v>237354</v>
      </c>
      <c r="I89" s="7">
        <v>62423</v>
      </c>
      <c r="J89" s="7">
        <v>72545</v>
      </c>
      <c r="K89" s="7">
        <v>55196</v>
      </c>
      <c r="L89" s="7">
        <v>46752</v>
      </c>
      <c r="M89" s="7">
        <v>13201</v>
      </c>
      <c r="N89" s="7">
        <f t="shared" si="5"/>
        <v>250117</v>
      </c>
    </row>
    <row r="90" spans="1:14" x14ac:dyDescent="0.25">
      <c r="A90" s="12" t="s">
        <v>202</v>
      </c>
      <c r="B90" s="7">
        <v>59132</v>
      </c>
      <c r="C90" s="7">
        <v>70492</v>
      </c>
      <c r="D90" s="7">
        <v>52645</v>
      </c>
      <c r="E90" s="7">
        <v>42600</v>
      </c>
      <c r="F90" s="7">
        <v>13118</v>
      </c>
      <c r="G90" s="7">
        <f t="shared" si="4"/>
        <v>237987</v>
      </c>
      <c r="I90" s="7">
        <v>63277</v>
      </c>
      <c r="J90" s="7">
        <v>72598</v>
      </c>
      <c r="K90" s="7">
        <v>55623</v>
      </c>
      <c r="L90" s="7">
        <v>46735</v>
      </c>
      <c r="M90" s="7">
        <v>13208</v>
      </c>
      <c r="N90" s="7">
        <f t="shared" si="5"/>
        <v>251441</v>
      </c>
    </row>
    <row r="91" spans="1:14" x14ac:dyDescent="0.25">
      <c r="A91" s="12" t="s">
        <v>203</v>
      </c>
      <c r="B91" s="7">
        <v>58570</v>
      </c>
      <c r="C91" s="7">
        <v>71317</v>
      </c>
      <c r="D91" s="7">
        <v>52717</v>
      </c>
      <c r="E91" s="7">
        <v>42732</v>
      </c>
      <c r="F91" s="7">
        <v>13118</v>
      </c>
      <c r="G91" s="7">
        <f t="shared" si="4"/>
        <v>238454</v>
      </c>
      <c r="I91" s="7">
        <v>62869</v>
      </c>
      <c r="J91" s="7">
        <v>73699</v>
      </c>
      <c r="K91" s="7">
        <v>55711</v>
      </c>
      <c r="L91" s="7">
        <v>46787</v>
      </c>
      <c r="M91" s="7">
        <v>13215</v>
      </c>
      <c r="N91" s="7">
        <f t="shared" si="5"/>
        <v>252281</v>
      </c>
    </row>
    <row r="92" spans="1:14" x14ac:dyDescent="0.25">
      <c r="A92" s="12" t="s">
        <v>204</v>
      </c>
      <c r="B92" s="7">
        <v>58643</v>
      </c>
      <c r="C92" s="7">
        <v>71232</v>
      </c>
      <c r="D92" s="7">
        <v>52707</v>
      </c>
      <c r="E92" s="7">
        <v>42940</v>
      </c>
      <c r="F92" s="7">
        <v>13117</v>
      </c>
      <c r="G92" s="7">
        <f t="shared" si="4"/>
        <v>238639</v>
      </c>
      <c r="I92" s="7">
        <v>62966</v>
      </c>
      <c r="J92" s="7">
        <v>73576</v>
      </c>
      <c r="K92" s="7">
        <v>55516</v>
      </c>
      <c r="L92" s="7">
        <v>46785</v>
      </c>
      <c r="M92" s="7">
        <v>13208</v>
      </c>
      <c r="N92" s="7">
        <f t="shared" si="5"/>
        <v>252051</v>
      </c>
    </row>
    <row r="93" spans="1:14" x14ac:dyDescent="0.25">
      <c r="A93" s="12" t="s">
        <v>205</v>
      </c>
      <c r="B93" s="7">
        <v>58649</v>
      </c>
      <c r="C93" s="7">
        <v>71494</v>
      </c>
      <c r="D93" s="7">
        <v>52726</v>
      </c>
      <c r="E93" s="7">
        <v>43108</v>
      </c>
      <c r="F93" s="7">
        <v>13672</v>
      </c>
      <c r="G93" s="7">
        <f t="shared" si="4"/>
        <v>239649</v>
      </c>
      <c r="I93" s="7">
        <v>63720</v>
      </c>
      <c r="J93" s="7">
        <v>73637</v>
      </c>
      <c r="K93" s="7">
        <v>55719</v>
      </c>
      <c r="L93" s="7">
        <v>46848</v>
      </c>
      <c r="M93" s="7">
        <v>14456</v>
      </c>
      <c r="N93" s="7">
        <f t="shared" si="5"/>
        <v>254380</v>
      </c>
    </row>
    <row r="94" spans="1:14" x14ac:dyDescent="0.25">
      <c r="A94" s="12" t="s">
        <v>206</v>
      </c>
      <c r="B94" s="7">
        <v>58749</v>
      </c>
      <c r="C94" s="7">
        <v>71609</v>
      </c>
      <c r="D94" s="7">
        <v>52797</v>
      </c>
      <c r="E94" s="7">
        <v>43332</v>
      </c>
      <c r="F94" s="7">
        <v>13795</v>
      </c>
      <c r="G94" s="7">
        <f t="shared" si="4"/>
        <v>240282</v>
      </c>
      <c r="I94" s="7">
        <v>63808</v>
      </c>
      <c r="J94" s="7">
        <v>73647</v>
      </c>
      <c r="K94" s="7">
        <v>55771</v>
      </c>
      <c r="L94" s="7">
        <v>47120</v>
      </c>
      <c r="M94" s="7">
        <v>14975</v>
      </c>
      <c r="N94" s="7">
        <f t="shared" si="5"/>
        <v>255321</v>
      </c>
    </row>
    <row r="95" spans="1:14" x14ac:dyDescent="0.25">
      <c r="A95" s="12" t="s">
        <v>207</v>
      </c>
      <c r="B95" s="7">
        <v>58991</v>
      </c>
      <c r="C95" s="7">
        <v>71724</v>
      </c>
      <c r="D95" s="7">
        <v>52868</v>
      </c>
      <c r="E95" s="7">
        <v>43469</v>
      </c>
      <c r="F95" s="7">
        <v>13818</v>
      </c>
      <c r="G95" s="7">
        <f t="shared" si="4"/>
        <v>240870</v>
      </c>
      <c r="I95" s="7">
        <v>63965</v>
      </c>
      <c r="J95" s="7">
        <v>73833</v>
      </c>
      <c r="K95" s="7">
        <v>55823</v>
      </c>
      <c r="L95" s="7">
        <v>47165</v>
      </c>
      <c r="M95" s="7">
        <v>14998</v>
      </c>
      <c r="N95" s="7">
        <f t="shared" si="5"/>
        <v>255784</v>
      </c>
    </row>
    <row r="96" spans="1:14" x14ac:dyDescent="0.25">
      <c r="A96" s="12" t="s">
        <v>208</v>
      </c>
      <c r="B96" s="7">
        <v>59090</v>
      </c>
      <c r="C96" s="7">
        <v>71901</v>
      </c>
      <c r="D96" s="7">
        <v>53020</v>
      </c>
      <c r="E96" s="7">
        <v>43714</v>
      </c>
      <c r="F96" s="7">
        <v>13840</v>
      </c>
      <c r="G96" s="7">
        <f t="shared" si="4"/>
        <v>241565</v>
      </c>
      <c r="I96" s="7">
        <v>64051</v>
      </c>
      <c r="J96" s="7">
        <v>73973</v>
      </c>
      <c r="K96" s="7">
        <v>56104</v>
      </c>
      <c r="L96" s="7">
        <v>47404</v>
      </c>
      <c r="M96" s="7">
        <v>15022</v>
      </c>
      <c r="N96" s="7">
        <f t="shared" si="5"/>
        <v>256554</v>
      </c>
    </row>
    <row r="97" spans="1:14" x14ac:dyDescent="0.25">
      <c r="A97" s="12" t="s">
        <v>209</v>
      </c>
      <c r="B97" s="7">
        <v>59195</v>
      </c>
      <c r="C97" s="7">
        <v>72376</v>
      </c>
      <c r="D97" s="7">
        <v>53155</v>
      </c>
      <c r="E97" s="7">
        <v>43957</v>
      </c>
      <c r="F97" s="7">
        <v>13927</v>
      </c>
      <c r="G97" s="7">
        <f t="shared" si="4"/>
        <v>242610</v>
      </c>
      <c r="I97" s="7">
        <v>64157</v>
      </c>
      <c r="J97" s="7">
        <v>74887</v>
      </c>
      <c r="K97" s="7">
        <v>56382</v>
      </c>
      <c r="L97" s="7">
        <v>47710</v>
      </c>
      <c r="M97" s="7">
        <v>15122</v>
      </c>
      <c r="N97" s="7">
        <f t="shared" si="5"/>
        <v>258258</v>
      </c>
    </row>
    <row r="98" spans="1:14" x14ac:dyDescent="0.25">
      <c r="A98" s="12" t="s">
        <v>210</v>
      </c>
      <c r="B98" s="7">
        <v>59222</v>
      </c>
      <c r="C98" s="7">
        <v>72545</v>
      </c>
      <c r="D98" s="7">
        <v>53324</v>
      </c>
      <c r="E98" s="7">
        <v>44148</v>
      </c>
      <c r="F98" s="7">
        <v>13950</v>
      </c>
      <c r="G98" s="7">
        <f t="shared" si="4"/>
        <v>243189</v>
      </c>
      <c r="I98" s="7">
        <v>64301</v>
      </c>
      <c r="J98" s="7">
        <v>75006</v>
      </c>
      <c r="K98" s="7">
        <v>56960</v>
      </c>
      <c r="L98" s="7">
        <v>48010</v>
      </c>
      <c r="M98" s="7">
        <v>15146</v>
      </c>
      <c r="N98" s="7">
        <f t="shared" si="5"/>
        <v>259423</v>
      </c>
    </row>
    <row r="99" spans="1:14" x14ac:dyDescent="0.25">
      <c r="A99" s="12" t="s">
        <v>211</v>
      </c>
      <c r="B99" s="7">
        <v>59914</v>
      </c>
      <c r="C99" s="7">
        <v>72727</v>
      </c>
      <c r="D99" s="7">
        <v>53403</v>
      </c>
      <c r="E99" s="7">
        <v>44466</v>
      </c>
      <c r="F99" s="7">
        <v>13972</v>
      </c>
      <c r="G99" s="7">
        <f t="shared" si="4"/>
        <v>244482</v>
      </c>
      <c r="I99" s="7">
        <v>64653</v>
      </c>
      <c r="J99" s="7">
        <v>75162</v>
      </c>
      <c r="K99" s="7">
        <v>56924</v>
      </c>
      <c r="L99" s="7">
        <v>48313</v>
      </c>
      <c r="M99" s="7">
        <v>15170</v>
      </c>
      <c r="N99" s="7">
        <f t="shared" si="5"/>
        <v>260222</v>
      </c>
    </row>
    <row r="100" spans="1:14" x14ac:dyDescent="0.25">
      <c r="A100" s="12" t="s">
        <v>212</v>
      </c>
      <c r="B100" s="7">
        <v>62496</v>
      </c>
      <c r="C100" s="7">
        <v>78386</v>
      </c>
      <c r="D100" s="7">
        <v>57305</v>
      </c>
      <c r="E100" s="7">
        <v>46611</v>
      </c>
      <c r="F100" s="7">
        <v>13995</v>
      </c>
      <c r="G100" s="7">
        <f t="shared" si="4"/>
        <v>258793</v>
      </c>
      <c r="I100" s="7">
        <v>67159</v>
      </c>
      <c r="J100" s="7">
        <v>85067</v>
      </c>
      <c r="K100" s="7">
        <v>61893</v>
      </c>
      <c r="L100" s="7">
        <v>52457</v>
      </c>
      <c r="M100" s="7">
        <v>15194</v>
      </c>
      <c r="N100" s="7">
        <f t="shared" si="5"/>
        <v>281770</v>
      </c>
    </row>
    <row r="101" spans="1:14" x14ac:dyDescent="0.25">
      <c r="A101" s="12" t="s">
        <v>213</v>
      </c>
      <c r="B101" s="7">
        <v>62617</v>
      </c>
      <c r="C101" s="7">
        <v>82992</v>
      </c>
      <c r="D101" s="7">
        <v>57437</v>
      </c>
      <c r="E101" s="7">
        <v>47202</v>
      </c>
      <c r="F101" s="7">
        <v>14017</v>
      </c>
      <c r="G101" s="7">
        <f t="shared" ref="G101:G132" si="6">SUM(B101:F101)</f>
        <v>264265</v>
      </c>
      <c r="I101" s="7">
        <v>67592</v>
      </c>
      <c r="J101" s="7">
        <v>91467</v>
      </c>
      <c r="K101" s="7">
        <v>62231</v>
      </c>
      <c r="L101" s="7">
        <v>53015</v>
      </c>
      <c r="M101" s="7">
        <v>15218</v>
      </c>
      <c r="N101" s="7">
        <f t="shared" ref="N101:N132" si="7">SUM(I101:M101)</f>
        <v>289523</v>
      </c>
    </row>
    <row r="102" spans="1:14" x14ac:dyDescent="0.25">
      <c r="A102" s="12" t="s">
        <v>214</v>
      </c>
      <c r="B102" s="7">
        <v>64269</v>
      </c>
      <c r="C102" s="7">
        <v>83436</v>
      </c>
      <c r="D102" s="7">
        <v>57871</v>
      </c>
      <c r="E102" s="7">
        <v>48536</v>
      </c>
      <c r="F102" s="7">
        <v>14040</v>
      </c>
      <c r="G102" s="7">
        <f t="shared" si="6"/>
        <v>268152</v>
      </c>
      <c r="I102" s="7">
        <v>69609</v>
      </c>
      <c r="J102" s="7">
        <v>91212</v>
      </c>
      <c r="K102" s="7">
        <v>62664</v>
      </c>
      <c r="L102" s="7">
        <v>54840</v>
      </c>
      <c r="M102" s="7">
        <v>15241</v>
      </c>
      <c r="N102" s="7">
        <f t="shared" si="7"/>
        <v>293566</v>
      </c>
    </row>
    <row r="103" spans="1:14" x14ac:dyDescent="0.25">
      <c r="A103" s="12" t="s">
        <v>215</v>
      </c>
      <c r="B103" s="7">
        <v>64268</v>
      </c>
      <c r="C103" s="7">
        <v>83669</v>
      </c>
      <c r="D103" s="7">
        <v>58140</v>
      </c>
      <c r="E103" s="7">
        <v>48764</v>
      </c>
      <c r="F103" s="7">
        <v>14062</v>
      </c>
      <c r="G103" s="7">
        <f t="shared" si="6"/>
        <v>268903</v>
      </c>
      <c r="I103" s="7">
        <v>69225</v>
      </c>
      <c r="J103" s="7">
        <v>91356</v>
      </c>
      <c r="K103" s="7">
        <v>62948</v>
      </c>
      <c r="L103" s="7">
        <v>54946</v>
      </c>
      <c r="M103" s="7">
        <v>15265</v>
      </c>
      <c r="N103" s="7">
        <f t="shared" si="7"/>
        <v>293740</v>
      </c>
    </row>
    <row r="104" spans="1:14" x14ac:dyDescent="0.25">
      <c r="A104" s="12" t="s">
        <v>216</v>
      </c>
      <c r="B104" s="7">
        <v>64368</v>
      </c>
      <c r="C104" s="7">
        <v>83452</v>
      </c>
      <c r="D104" s="7">
        <v>58284</v>
      </c>
      <c r="E104" s="7">
        <v>48900</v>
      </c>
      <c r="F104" s="7">
        <v>14133</v>
      </c>
      <c r="G104" s="7">
        <f t="shared" si="6"/>
        <v>269137</v>
      </c>
      <c r="I104" s="7">
        <v>69314</v>
      </c>
      <c r="J104" s="7">
        <v>91012</v>
      </c>
      <c r="K104" s="7">
        <v>63035</v>
      </c>
      <c r="L104" s="7">
        <v>54949</v>
      </c>
      <c r="M104" s="7">
        <v>15345</v>
      </c>
      <c r="N104" s="7">
        <f t="shared" si="7"/>
        <v>293655</v>
      </c>
    </row>
    <row r="105" spans="1:14" x14ac:dyDescent="0.25">
      <c r="A105" s="12" t="s">
        <v>217</v>
      </c>
      <c r="B105" s="7">
        <v>64469</v>
      </c>
      <c r="C105" s="7">
        <v>83636</v>
      </c>
      <c r="D105" s="7">
        <v>58685</v>
      </c>
      <c r="E105" s="7">
        <v>49088</v>
      </c>
      <c r="F105" s="7">
        <v>14151</v>
      </c>
      <c r="G105" s="7">
        <f t="shared" si="6"/>
        <v>270029</v>
      </c>
      <c r="I105" s="7">
        <v>69402</v>
      </c>
      <c r="J105" s="7">
        <v>91160</v>
      </c>
      <c r="K105" s="7">
        <v>63319</v>
      </c>
      <c r="L105" s="7">
        <v>54994</v>
      </c>
      <c r="M105" s="7">
        <v>15358</v>
      </c>
      <c r="N105" s="7">
        <f t="shared" si="7"/>
        <v>294233</v>
      </c>
    </row>
    <row r="106" spans="1:14" x14ac:dyDescent="0.25">
      <c r="A106" s="12" t="s">
        <v>218</v>
      </c>
      <c r="B106" s="7">
        <v>64573</v>
      </c>
      <c r="C106" s="7">
        <v>84186</v>
      </c>
      <c r="D106" s="7">
        <v>58879</v>
      </c>
      <c r="E106" s="7">
        <v>49338</v>
      </c>
      <c r="F106" s="7">
        <v>14540</v>
      </c>
      <c r="G106" s="7">
        <f t="shared" si="6"/>
        <v>271516</v>
      </c>
      <c r="I106" s="7">
        <v>69491</v>
      </c>
      <c r="J106" s="7">
        <v>91331</v>
      </c>
      <c r="K106" s="7">
        <v>63596</v>
      </c>
      <c r="L106" s="7">
        <v>55100</v>
      </c>
      <c r="M106" s="7">
        <v>15348</v>
      </c>
      <c r="N106" s="7">
        <f t="shared" si="7"/>
        <v>294866</v>
      </c>
    </row>
    <row r="107" spans="1:14" x14ac:dyDescent="0.25">
      <c r="A107" s="12" t="s">
        <v>219</v>
      </c>
      <c r="B107" s="7">
        <v>64692</v>
      </c>
      <c r="C107" s="7">
        <v>84805</v>
      </c>
      <c r="D107" s="7">
        <v>58933</v>
      </c>
      <c r="E107" s="7">
        <v>49694</v>
      </c>
      <c r="F107" s="7">
        <v>14558</v>
      </c>
      <c r="G107" s="7">
        <f t="shared" si="6"/>
        <v>272682</v>
      </c>
      <c r="I107" s="7">
        <v>69628</v>
      </c>
      <c r="J107" s="7">
        <v>92440</v>
      </c>
      <c r="K107" s="7">
        <v>62872</v>
      </c>
      <c r="L107" s="7">
        <v>55360</v>
      </c>
      <c r="M107" s="7">
        <v>15360</v>
      </c>
      <c r="N107" s="7">
        <f t="shared" si="7"/>
        <v>295660</v>
      </c>
    </row>
    <row r="108" spans="1:14" x14ac:dyDescent="0.25">
      <c r="A108" s="12" t="s">
        <v>220</v>
      </c>
      <c r="B108" s="7">
        <v>64792</v>
      </c>
      <c r="C108" s="7">
        <v>84998</v>
      </c>
      <c r="D108" s="7">
        <v>59080</v>
      </c>
      <c r="E108" s="7">
        <v>49922</v>
      </c>
      <c r="F108" s="7">
        <v>14577</v>
      </c>
      <c r="G108" s="7">
        <f t="shared" si="6"/>
        <v>273369</v>
      </c>
      <c r="I108" s="7">
        <v>69718</v>
      </c>
      <c r="J108" s="7">
        <v>92586</v>
      </c>
      <c r="K108" s="7">
        <v>62946</v>
      </c>
      <c r="L108" s="7">
        <v>55466</v>
      </c>
      <c r="M108" s="7">
        <v>15373</v>
      </c>
      <c r="N108" s="7">
        <f t="shared" si="7"/>
        <v>296089</v>
      </c>
    </row>
    <row r="109" spans="1:14" x14ac:dyDescent="0.25">
      <c r="A109" s="12" t="s">
        <v>221</v>
      </c>
      <c r="B109" s="7">
        <v>64893</v>
      </c>
      <c r="C109" s="7">
        <v>85132</v>
      </c>
      <c r="D109" s="7">
        <v>59771</v>
      </c>
      <c r="E109" s="7">
        <v>50356</v>
      </c>
      <c r="F109" s="7">
        <v>14596</v>
      </c>
      <c r="G109" s="7">
        <f t="shared" si="6"/>
        <v>274748</v>
      </c>
      <c r="I109" s="7">
        <v>69807</v>
      </c>
      <c r="J109" s="7">
        <v>92535</v>
      </c>
      <c r="K109" s="7">
        <v>63575</v>
      </c>
      <c r="L109" s="7">
        <v>55632</v>
      </c>
      <c r="M109" s="7">
        <v>15386</v>
      </c>
      <c r="N109" s="7">
        <f t="shared" si="7"/>
        <v>296935</v>
      </c>
    </row>
    <row r="110" spans="1:14" x14ac:dyDescent="0.25">
      <c r="A110" s="12" t="s">
        <v>222</v>
      </c>
      <c r="B110" s="7">
        <v>65103</v>
      </c>
      <c r="C110" s="7">
        <v>84992</v>
      </c>
      <c r="D110" s="7">
        <v>59900</v>
      </c>
      <c r="E110" s="7">
        <v>50683</v>
      </c>
      <c r="F110" s="7">
        <v>14615</v>
      </c>
      <c r="G110" s="7">
        <f t="shared" si="6"/>
        <v>275293</v>
      </c>
      <c r="I110" s="7">
        <v>70121</v>
      </c>
      <c r="J110" s="7">
        <v>92072</v>
      </c>
      <c r="K110" s="7">
        <v>62941</v>
      </c>
      <c r="L110" s="7">
        <v>55532</v>
      </c>
      <c r="M110" s="7">
        <v>15399</v>
      </c>
      <c r="N110" s="7">
        <f t="shared" si="7"/>
        <v>296065</v>
      </c>
    </row>
    <row r="111" spans="1:14" x14ac:dyDescent="0.25">
      <c r="A111" s="12" t="s">
        <v>223</v>
      </c>
      <c r="B111" s="7">
        <v>65197</v>
      </c>
      <c r="C111" s="7">
        <v>86182</v>
      </c>
      <c r="D111" s="7">
        <v>60068</v>
      </c>
      <c r="E111" s="7">
        <v>50670</v>
      </c>
      <c r="F111" s="7">
        <v>14666</v>
      </c>
      <c r="G111" s="7">
        <f t="shared" si="6"/>
        <v>276783</v>
      </c>
      <c r="I111" s="7">
        <v>70226</v>
      </c>
      <c r="J111" s="7">
        <v>93957</v>
      </c>
      <c r="K111" s="7">
        <v>63134</v>
      </c>
      <c r="L111" s="7">
        <v>55691</v>
      </c>
      <c r="M111" s="7">
        <v>15439</v>
      </c>
      <c r="N111" s="7">
        <f t="shared" si="7"/>
        <v>298447</v>
      </c>
    </row>
    <row r="112" spans="1:14" x14ac:dyDescent="0.25">
      <c r="A112" s="12" t="s">
        <v>224</v>
      </c>
      <c r="B112" s="7">
        <v>65908</v>
      </c>
      <c r="C112" s="7">
        <v>86630</v>
      </c>
      <c r="D112" s="7">
        <v>60617</v>
      </c>
      <c r="E112" s="7">
        <v>51453</v>
      </c>
      <c r="F112" s="7">
        <v>14846</v>
      </c>
      <c r="G112" s="7">
        <f t="shared" si="6"/>
        <v>279454</v>
      </c>
      <c r="I112" s="7">
        <v>71351</v>
      </c>
      <c r="J112" s="7">
        <v>93554</v>
      </c>
      <c r="K112" s="7">
        <v>63558</v>
      </c>
      <c r="L112" s="7">
        <v>56218</v>
      </c>
      <c r="M112" s="7">
        <v>15714</v>
      </c>
      <c r="N112" s="7">
        <f t="shared" si="7"/>
        <v>300395</v>
      </c>
    </row>
    <row r="113" spans="1:14" x14ac:dyDescent="0.25">
      <c r="A113" s="12" t="s">
        <v>225</v>
      </c>
      <c r="B113" s="7">
        <v>66834</v>
      </c>
      <c r="C113" s="7">
        <v>86779</v>
      </c>
      <c r="D113" s="7">
        <v>60651</v>
      </c>
      <c r="E113" s="7">
        <v>58468</v>
      </c>
      <c r="F113" s="7">
        <v>14867</v>
      </c>
      <c r="G113" s="7">
        <f t="shared" si="6"/>
        <v>287599</v>
      </c>
      <c r="I113" s="7">
        <v>73258</v>
      </c>
      <c r="J113" s="7">
        <v>93439</v>
      </c>
      <c r="K113" s="7">
        <v>63912</v>
      </c>
      <c r="L113" s="7">
        <v>62966</v>
      </c>
      <c r="M113" s="7">
        <v>15729</v>
      </c>
      <c r="N113" s="7">
        <f t="shared" si="7"/>
        <v>309304</v>
      </c>
    </row>
    <row r="114" spans="1:14" x14ac:dyDescent="0.25">
      <c r="A114" s="12" t="s">
        <v>226</v>
      </c>
      <c r="B114" s="7">
        <v>67496</v>
      </c>
      <c r="C114" s="7">
        <v>99871</v>
      </c>
      <c r="D114" s="7">
        <v>74871</v>
      </c>
      <c r="E114" s="7">
        <v>60556</v>
      </c>
      <c r="F114" s="7">
        <v>14981</v>
      </c>
      <c r="G114" s="7">
        <f t="shared" si="6"/>
        <v>317775</v>
      </c>
      <c r="I114" s="7">
        <v>73725</v>
      </c>
      <c r="J114" s="7">
        <v>106381</v>
      </c>
      <c r="K114" s="7">
        <v>74798</v>
      </c>
      <c r="L114" s="7">
        <v>64375</v>
      </c>
      <c r="M114" s="7">
        <v>15886</v>
      </c>
      <c r="N114" s="7">
        <f t="shared" si="7"/>
        <v>335165</v>
      </c>
    </row>
    <row r="115" spans="1:14" x14ac:dyDescent="0.25">
      <c r="A115" s="12" t="s">
        <v>227</v>
      </c>
      <c r="B115" s="7">
        <v>68366</v>
      </c>
      <c r="C115" s="7">
        <v>101640</v>
      </c>
      <c r="D115" s="7">
        <v>75267</v>
      </c>
      <c r="E115" s="7">
        <v>60626</v>
      </c>
      <c r="F115" s="7">
        <v>15003</v>
      </c>
      <c r="G115" s="7">
        <f t="shared" si="6"/>
        <v>320902</v>
      </c>
      <c r="I115" s="7">
        <v>74470</v>
      </c>
      <c r="J115" s="7">
        <v>107053</v>
      </c>
      <c r="K115" s="7">
        <v>78376</v>
      </c>
      <c r="L115" s="7">
        <v>64369</v>
      </c>
      <c r="M115" s="7">
        <v>15922</v>
      </c>
      <c r="N115" s="7">
        <f t="shared" si="7"/>
        <v>340190</v>
      </c>
    </row>
    <row r="116" spans="1:14" x14ac:dyDescent="0.25">
      <c r="A116" s="12" t="s">
        <v>228</v>
      </c>
      <c r="B116" s="7">
        <v>68274</v>
      </c>
      <c r="C116" s="7">
        <v>102063</v>
      </c>
      <c r="D116" s="7">
        <v>75353</v>
      </c>
      <c r="E116" s="7">
        <v>60356</v>
      </c>
      <c r="F116" s="7">
        <v>14957</v>
      </c>
      <c r="G116" s="7">
        <f t="shared" si="6"/>
        <v>321003</v>
      </c>
      <c r="I116" s="7">
        <v>73961</v>
      </c>
      <c r="J116" s="7">
        <v>107435</v>
      </c>
      <c r="K116" s="7">
        <v>78683</v>
      </c>
      <c r="L116" s="7">
        <v>63875</v>
      </c>
      <c r="M116" s="7">
        <v>15924</v>
      </c>
      <c r="N116" s="7">
        <f t="shared" si="7"/>
        <v>339878</v>
      </c>
    </row>
    <row r="117" spans="1:14" x14ac:dyDescent="0.25">
      <c r="A117" s="12" t="s">
        <v>229</v>
      </c>
      <c r="B117" s="7">
        <v>68419</v>
      </c>
      <c r="C117" s="7">
        <v>106236</v>
      </c>
      <c r="D117" s="7">
        <v>75421</v>
      </c>
      <c r="E117" s="7">
        <v>60451</v>
      </c>
      <c r="F117" s="7">
        <v>14981</v>
      </c>
      <c r="G117" s="7">
        <f t="shared" si="6"/>
        <v>325508</v>
      </c>
      <c r="I117" s="7">
        <v>74031</v>
      </c>
      <c r="J117" s="7">
        <v>109645</v>
      </c>
      <c r="K117" s="7">
        <v>78901</v>
      </c>
      <c r="L117" s="7">
        <v>63927</v>
      </c>
      <c r="M117" s="7">
        <v>15941</v>
      </c>
      <c r="N117" s="7">
        <f t="shared" si="7"/>
        <v>342445</v>
      </c>
    </row>
    <row r="118" spans="1:14" x14ac:dyDescent="0.25">
      <c r="A118" s="12" t="s">
        <v>230</v>
      </c>
      <c r="B118" s="7">
        <v>68538</v>
      </c>
      <c r="C118" s="7">
        <v>106148</v>
      </c>
      <c r="D118" s="7">
        <v>75498</v>
      </c>
      <c r="E118" s="7">
        <v>60532</v>
      </c>
      <c r="F118" s="7">
        <v>15019</v>
      </c>
      <c r="G118" s="7">
        <f t="shared" si="6"/>
        <v>325735</v>
      </c>
      <c r="I118" s="7">
        <v>73780</v>
      </c>
      <c r="J118" s="7">
        <v>109471</v>
      </c>
      <c r="K118" s="7">
        <v>79156</v>
      </c>
      <c r="L118" s="7">
        <v>63924</v>
      </c>
      <c r="M118" s="7">
        <v>16004</v>
      </c>
      <c r="N118" s="7">
        <f t="shared" si="7"/>
        <v>342335</v>
      </c>
    </row>
    <row r="119" spans="1:14" x14ac:dyDescent="0.25">
      <c r="A119" s="12" t="s">
        <v>231</v>
      </c>
      <c r="B119" s="7">
        <v>68693</v>
      </c>
      <c r="C119" s="7">
        <v>106052</v>
      </c>
      <c r="D119" s="7">
        <v>75560</v>
      </c>
      <c r="E119" s="7">
        <v>60342</v>
      </c>
      <c r="F119" s="7">
        <v>18844</v>
      </c>
      <c r="G119" s="7">
        <f t="shared" si="6"/>
        <v>329491</v>
      </c>
      <c r="I119" s="7">
        <v>73857</v>
      </c>
      <c r="J119" s="7">
        <v>109078</v>
      </c>
      <c r="K119" s="7">
        <v>79369</v>
      </c>
      <c r="L119" s="7">
        <v>63902</v>
      </c>
      <c r="M119" s="7">
        <v>20553</v>
      </c>
      <c r="N119" s="7">
        <f t="shared" si="7"/>
        <v>346759</v>
      </c>
    </row>
    <row r="120" spans="1:14" x14ac:dyDescent="0.25">
      <c r="A120" s="12" t="s">
        <v>232</v>
      </c>
      <c r="B120" s="7">
        <v>68864</v>
      </c>
      <c r="C120" s="7">
        <v>106099</v>
      </c>
      <c r="D120" s="7">
        <v>75655</v>
      </c>
      <c r="E120" s="7">
        <v>60430</v>
      </c>
      <c r="F120" s="7">
        <v>18909</v>
      </c>
      <c r="G120" s="7">
        <f t="shared" si="6"/>
        <v>329957</v>
      </c>
      <c r="I120" s="7">
        <v>74004</v>
      </c>
      <c r="J120" s="7">
        <v>109092</v>
      </c>
      <c r="K120" s="7">
        <v>79500</v>
      </c>
      <c r="L120" s="7">
        <v>63902</v>
      </c>
      <c r="M120" s="7">
        <v>20699</v>
      </c>
      <c r="N120" s="7">
        <f t="shared" si="7"/>
        <v>347197</v>
      </c>
    </row>
    <row r="121" spans="1:14" x14ac:dyDescent="0.25">
      <c r="A121" s="12" t="s">
        <v>233</v>
      </c>
      <c r="B121" s="7">
        <v>69637</v>
      </c>
      <c r="C121" s="7">
        <v>106163</v>
      </c>
      <c r="D121" s="7">
        <v>75723</v>
      </c>
      <c r="E121" s="7">
        <v>60514</v>
      </c>
      <c r="F121" s="7">
        <v>18979</v>
      </c>
      <c r="G121" s="7">
        <f t="shared" si="6"/>
        <v>331016</v>
      </c>
      <c r="I121" s="7">
        <v>74295</v>
      </c>
      <c r="J121" s="7">
        <v>109126</v>
      </c>
      <c r="K121" s="7">
        <v>79694</v>
      </c>
      <c r="L121" s="7">
        <v>63897</v>
      </c>
      <c r="M121" s="7">
        <v>20667</v>
      </c>
      <c r="N121" s="7">
        <f t="shared" si="7"/>
        <v>347679</v>
      </c>
    </row>
    <row r="122" spans="1:14" x14ac:dyDescent="0.25">
      <c r="A122" s="12" t="s">
        <v>234</v>
      </c>
      <c r="B122" s="7">
        <v>70218</v>
      </c>
      <c r="C122" s="7">
        <v>105957</v>
      </c>
      <c r="D122" s="7">
        <v>75732</v>
      </c>
      <c r="E122" s="7">
        <v>60600</v>
      </c>
      <c r="F122" s="7">
        <v>18954</v>
      </c>
      <c r="G122" s="7">
        <f t="shared" si="6"/>
        <v>331461</v>
      </c>
      <c r="I122" s="7">
        <v>75266</v>
      </c>
      <c r="J122" s="7">
        <v>109090</v>
      </c>
      <c r="K122" s="7">
        <v>79617</v>
      </c>
      <c r="L122" s="7">
        <v>64109</v>
      </c>
      <c r="M122" s="7">
        <v>20571</v>
      </c>
      <c r="N122" s="7">
        <f t="shared" si="7"/>
        <v>348653</v>
      </c>
    </row>
    <row r="123" spans="1:14" x14ac:dyDescent="0.25">
      <c r="A123" s="12" t="s">
        <v>235</v>
      </c>
      <c r="B123" s="7">
        <v>70381</v>
      </c>
      <c r="C123" s="7">
        <v>105795</v>
      </c>
      <c r="D123" s="7">
        <v>75662</v>
      </c>
      <c r="E123" s="7">
        <v>60565</v>
      </c>
      <c r="F123" s="7">
        <v>18981</v>
      </c>
      <c r="G123" s="7">
        <f t="shared" si="6"/>
        <v>331384</v>
      </c>
      <c r="I123" s="7">
        <v>75303</v>
      </c>
      <c r="J123" s="7">
        <v>108739</v>
      </c>
      <c r="K123" s="7">
        <v>79646</v>
      </c>
      <c r="L123" s="7">
        <v>63992</v>
      </c>
      <c r="M123" s="7">
        <v>20591</v>
      </c>
      <c r="N123" s="7">
        <f t="shared" si="7"/>
        <v>348271</v>
      </c>
    </row>
    <row r="124" spans="1:14" x14ac:dyDescent="0.25">
      <c r="A124" s="12" t="s">
        <v>236</v>
      </c>
      <c r="B124" s="7">
        <v>69640</v>
      </c>
      <c r="C124" s="7">
        <v>105363</v>
      </c>
      <c r="D124" s="7">
        <v>75689</v>
      </c>
      <c r="E124" s="7">
        <v>60653</v>
      </c>
      <c r="F124" s="7">
        <v>19037</v>
      </c>
      <c r="G124" s="7">
        <f t="shared" si="6"/>
        <v>330382</v>
      </c>
      <c r="I124" s="7">
        <v>75037</v>
      </c>
      <c r="J124" s="7">
        <v>107814</v>
      </c>
      <c r="K124" s="7">
        <v>79754</v>
      </c>
      <c r="L124" s="7">
        <v>64122</v>
      </c>
      <c r="M124" s="7">
        <v>20615</v>
      </c>
      <c r="N124" s="7">
        <f t="shared" si="7"/>
        <v>347342</v>
      </c>
    </row>
    <row r="125" spans="1:14" x14ac:dyDescent="0.25">
      <c r="A125" s="12" t="s">
        <v>237</v>
      </c>
      <c r="B125" s="7">
        <v>69840</v>
      </c>
      <c r="C125" s="7">
        <v>105213</v>
      </c>
      <c r="D125" s="7">
        <v>75713</v>
      </c>
      <c r="E125" s="7">
        <v>60681</v>
      </c>
      <c r="F125" s="7">
        <v>19253</v>
      </c>
      <c r="G125" s="7">
        <f t="shared" si="6"/>
        <v>330700</v>
      </c>
      <c r="I125" s="7">
        <v>75246</v>
      </c>
      <c r="J125" s="7">
        <v>107658</v>
      </c>
      <c r="K125" s="7">
        <v>78676</v>
      </c>
      <c r="L125" s="7">
        <v>63996</v>
      </c>
      <c r="M125" s="7">
        <v>21109</v>
      </c>
      <c r="N125" s="7">
        <f t="shared" si="7"/>
        <v>346685</v>
      </c>
    </row>
    <row r="126" spans="1:14" x14ac:dyDescent="0.25">
      <c r="A126" s="12" t="s">
        <v>238</v>
      </c>
      <c r="B126" s="7">
        <v>71674</v>
      </c>
      <c r="C126" s="7">
        <v>104858</v>
      </c>
      <c r="D126" s="7">
        <v>75674</v>
      </c>
      <c r="E126" s="7">
        <v>65371</v>
      </c>
      <c r="F126" s="7">
        <v>19322</v>
      </c>
      <c r="G126" s="7">
        <f t="shared" si="6"/>
        <v>336899</v>
      </c>
      <c r="I126" s="7">
        <v>78386</v>
      </c>
      <c r="J126" s="7">
        <v>107725</v>
      </c>
      <c r="K126" s="7">
        <v>78530</v>
      </c>
      <c r="L126" s="7">
        <v>69122</v>
      </c>
      <c r="M126" s="7">
        <v>21141</v>
      </c>
      <c r="N126" s="7">
        <f t="shared" si="7"/>
        <v>354904</v>
      </c>
    </row>
    <row r="127" spans="1:14" x14ac:dyDescent="0.25">
      <c r="A127" s="12" t="s">
        <v>239</v>
      </c>
      <c r="B127" s="7">
        <v>71557</v>
      </c>
      <c r="C127" s="7">
        <v>104320</v>
      </c>
      <c r="D127" s="7">
        <v>75536</v>
      </c>
      <c r="E127" s="7">
        <v>67286</v>
      </c>
      <c r="F127" s="7">
        <v>19391</v>
      </c>
      <c r="G127" s="7">
        <f t="shared" si="6"/>
        <v>338090</v>
      </c>
      <c r="I127" s="7">
        <v>78115</v>
      </c>
      <c r="J127" s="7">
        <v>107879</v>
      </c>
      <c r="K127" s="7">
        <v>78549</v>
      </c>
      <c r="L127" s="7">
        <v>72030</v>
      </c>
      <c r="M127" s="7">
        <v>21173</v>
      </c>
      <c r="N127" s="7">
        <f t="shared" si="7"/>
        <v>357746</v>
      </c>
    </row>
    <row r="128" spans="1:14" x14ac:dyDescent="0.25">
      <c r="A128" s="12" t="s">
        <v>240</v>
      </c>
      <c r="B128" s="7">
        <v>71719</v>
      </c>
      <c r="C128" s="7">
        <v>104821</v>
      </c>
      <c r="D128" s="7">
        <v>75567</v>
      </c>
      <c r="E128" s="7">
        <v>68716</v>
      </c>
      <c r="F128" s="7">
        <v>19730</v>
      </c>
      <c r="G128" s="7">
        <f t="shared" si="6"/>
        <v>340553</v>
      </c>
      <c r="I128" s="7">
        <v>78703</v>
      </c>
      <c r="J128" s="7">
        <v>108408</v>
      </c>
      <c r="K128" s="7">
        <v>78645</v>
      </c>
      <c r="L128" s="7">
        <v>73857</v>
      </c>
      <c r="M128" s="7">
        <v>21691</v>
      </c>
      <c r="N128" s="7">
        <f t="shared" si="7"/>
        <v>361304</v>
      </c>
    </row>
    <row r="129" spans="1:14" x14ac:dyDescent="0.25">
      <c r="A129" s="12" t="s">
        <v>241</v>
      </c>
      <c r="B129" s="7">
        <v>71860</v>
      </c>
      <c r="C129" s="7">
        <v>105007</v>
      </c>
      <c r="D129" s="7">
        <v>75505</v>
      </c>
      <c r="E129" s="7">
        <v>68836</v>
      </c>
      <c r="F129" s="7">
        <v>19673</v>
      </c>
      <c r="G129" s="7">
        <f t="shared" si="6"/>
        <v>340881</v>
      </c>
      <c r="I129" s="7">
        <v>78838</v>
      </c>
      <c r="J129" s="7">
        <v>108608</v>
      </c>
      <c r="K129" s="7">
        <v>78172</v>
      </c>
      <c r="L129" s="7">
        <v>73944</v>
      </c>
      <c r="M129" s="7">
        <v>21725</v>
      </c>
      <c r="N129" s="7">
        <f t="shared" si="7"/>
        <v>361287</v>
      </c>
    </row>
    <row r="130" spans="1:14" x14ac:dyDescent="0.25">
      <c r="A130" s="12" t="s">
        <v>242</v>
      </c>
      <c r="B130" s="7">
        <v>71815</v>
      </c>
      <c r="C130" s="7">
        <v>105083</v>
      </c>
      <c r="D130" s="7">
        <v>75418</v>
      </c>
      <c r="E130" s="7">
        <v>68945</v>
      </c>
      <c r="F130" s="7">
        <v>19743</v>
      </c>
      <c r="G130" s="7">
        <f t="shared" si="6"/>
        <v>341004</v>
      </c>
      <c r="I130" s="7">
        <v>78955</v>
      </c>
      <c r="J130" s="7">
        <v>108667</v>
      </c>
      <c r="K130" s="7">
        <v>78080</v>
      </c>
      <c r="L130" s="7">
        <v>74028</v>
      </c>
      <c r="M130" s="7">
        <v>21764</v>
      </c>
      <c r="N130" s="7">
        <f t="shared" si="7"/>
        <v>361494</v>
      </c>
    </row>
    <row r="131" spans="1:14" x14ac:dyDescent="0.25">
      <c r="A131" s="12" t="s">
        <v>243</v>
      </c>
      <c r="B131" s="7">
        <v>71952</v>
      </c>
      <c r="C131" s="7">
        <v>105473</v>
      </c>
      <c r="D131" s="7">
        <v>75576</v>
      </c>
      <c r="E131" s="7">
        <v>69196</v>
      </c>
      <c r="F131" s="7">
        <v>19918</v>
      </c>
      <c r="G131" s="7">
        <f t="shared" si="6"/>
        <v>342115</v>
      </c>
      <c r="I131" s="7">
        <v>79094</v>
      </c>
      <c r="J131" s="7">
        <v>109389</v>
      </c>
      <c r="K131" s="7">
        <v>78702</v>
      </c>
      <c r="L131" s="7">
        <v>74516</v>
      </c>
      <c r="M131" s="7">
        <v>22221</v>
      </c>
      <c r="N131" s="7">
        <f t="shared" si="7"/>
        <v>363922</v>
      </c>
    </row>
    <row r="132" spans="1:14" x14ac:dyDescent="0.25">
      <c r="A132" s="12" t="s">
        <v>244</v>
      </c>
      <c r="B132" s="7">
        <v>72296</v>
      </c>
      <c r="C132" s="7">
        <v>105615</v>
      </c>
      <c r="D132" s="7">
        <v>75619</v>
      </c>
      <c r="E132" s="7">
        <v>69602</v>
      </c>
      <c r="F132" s="7">
        <v>25735</v>
      </c>
      <c r="G132" s="7">
        <f t="shared" si="6"/>
        <v>348867</v>
      </c>
      <c r="I132" s="7">
        <v>79708</v>
      </c>
      <c r="J132" s="7">
        <v>109711</v>
      </c>
      <c r="K132" s="7">
        <v>78808</v>
      </c>
      <c r="L132" s="7">
        <v>74644</v>
      </c>
      <c r="M132" s="7">
        <v>27182</v>
      </c>
      <c r="N132" s="7">
        <f t="shared" si="7"/>
        <v>370053</v>
      </c>
    </row>
    <row r="133" spans="1:14" x14ac:dyDescent="0.25">
      <c r="A133" s="12" t="s">
        <v>245</v>
      </c>
      <c r="B133" s="7">
        <v>72438</v>
      </c>
      <c r="C133" s="7">
        <v>105846</v>
      </c>
      <c r="D133" s="7">
        <v>75654</v>
      </c>
      <c r="E133" s="7">
        <v>69709</v>
      </c>
      <c r="F133" s="7">
        <v>25851</v>
      </c>
      <c r="G133" s="7">
        <f t="shared" ref="G133:G164" si="8">SUM(B133:F133)</f>
        <v>349498</v>
      </c>
      <c r="I133" s="7">
        <v>79852</v>
      </c>
      <c r="J133" s="7">
        <v>109889</v>
      </c>
      <c r="K133" s="7">
        <v>78902</v>
      </c>
      <c r="L133" s="7">
        <v>74729</v>
      </c>
      <c r="M133" s="7">
        <v>28411</v>
      </c>
      <c r="N133" s="7">
        <f t="shared" ref="N133:N164" si="9">SUM(I133:M133)</f>
        <v>371783</v>
      </c>
    </row>
    <row r="134" spans="1:14" x14ac:dyDescent="0.25">
      <c r="A134" s="12" t="s">
        <v>246</v>
      </c>
      <c r="B134" s="7">
        <v>72579</v>
      </c>
      <c r="C134" s="7">
        <v>106259</v>
      </c>
      <c r="D134" s="7">
        <v>75817</v>
      </c>
      <c r="E134" s="7">
        <v>69833</v>
      </c>
      <c r="F134" s="7">
        <v>25884</v>
      </c>
      <c r="G134" s="7">
        <f t="shared" si="8"/>
        <v>350372</v>
      </c>
      <c r="I134" s="7">
        <v>79995</v>
      </c>
      <c r="J134" s="7">
        <v>110593</v>
      </c>
      <c r="K134" s="7">
        <v>79334</v>
      </c>
      <c r="L134" s="7">
        <v>74857</v>
      </c>
      <c r="M134" s="7">
        <v>28212</v>
      </c>
      <c r="N134" s="7">
        <f t="shared" si="9"/>
        <v>372991</v>
      </c>
    </row>
    <row r="135" spans="1:14" x14ac:dyDescent="0.25">
      <c r="A135" s="12" t="s">
        <v>247</v>
      </c>
      <c r="B135" s="7">
        <v>72858</v>
      </c>
      <c r="C135" s="7">
        <v>106273</v>
      </c>
      <c r="D135" s="7">
        <v>75950</v>
      </c>
      <c r="E135" s="7">
        <v>69900</v>
      </c>
      <c r="F135" s="7">
        <v>25917</v>
      </c>
      <c r="G135" s="7">
        <f t="shared" si="8"/>
        <v>350898</v>
      </c>
      <c r="I135" s="7">
        <v>80310</v>
      </c>
      <c r="J135" s="7">
        <v>110591</v>
      </c>
      <c r="K135" s="7">
        <v>79524</v>
      </c>
      <c r="L135" s="7">
        <v>74903</v>
      </c>
      <c r="M135" s="7">
        <v>28242</v>
      </c>
      <c r="N135" s="7">
        <f t="shared" si="9"/>
        <v>373570</v>
      </c>
    </row>
    <row r="136" spans="1:14" x14ac:dyDescent="0.25">
      <c r="A136" s="12" t="s">
        <v>248</v>
      </c>
      <c r="B136" s="7">
        <v>73002</v>
      </c>
      <c r="C136" s="7">
        <v>106333</v>
      </c>
      <c r="D136" s="7">
        <v>75921</v>
      </c>
      <c r="E136" s="7">
        <v>70248</v>
      </c>
      <c r="F136" s="7">
        <v>25964</v>
      </c>
      <c r="G136" s="7">
        <f t="shared" si="8"/>
        <v>351468</v>
      </c>
      <c r="I136" s="7">
        <v>80439</v>
      </c>
      <c r="J136" s="7">
        <v>110703</v>
      </c>
      <c r="K136" s="7">
        <v>79654</v>
      </c>
      <c r="L136" s="7">
        <v>75258</v>
      </c>
      <c r="M136" s="7">
        <v>28274</v>
      </c>
      <c r="N136" s="7">
        <f t="shared" si="9"/>
        <v>374328</v>
      </c>
    </row>
    <row r="137" spans="1:14" x14ac:dyDescent="0.25">
      <c r="A137" s="12" t="s">
        <v>249</v>
      </c>
      <c r="B137" s="7">
        <v>73158</v>
      </c>
      <c r="C137" s="7">
        <v>106765</v>
      </c>
      <c r="D137" s="7">
        <v>76240</v>
      </c>
      <c r="E137" s="7">
        <v>70849</v>
      </c>
      <c r="F137" s="7">
        <v>26217</v>
      </c>
      <c r="G137" s="7">
        <f t="shared" si="8"/>
        <v>353229</v>
      </c>
      <c r="I137" s="7">
        <v>80611</v>
      </c>
      <c r="J137" s="7">
        <v>111707</v>
      </c>
      <c r="K137" s="7">
        <v>80442</v>
      </c>
      <c r="L137" s="7">
        <v>76296</v>
      </c>
      <c r="M137" s="7">
        <v>29561</v>
      </c>
      <c r="N137" s="7">
        <f t="shared" si="9"/>
        <v>378617</v>
      </c>
    </row>
    <row r="138" spans="1:14" x14ac:dyDescent="0.25">
      <c r="A138" s="12" t="s">
        <v>250</v>
      </c>
      <c r="B138" s="7">
        <v>74390</v>
      </c>
      <c r="C138" s="7">
        <v>107075</v>
      </c>
      <c r="D138" s="7">
        <v>86937</v>
      </c>
      <c r="E138" s="7">
        <v>71215</v>
      </c>
      <c r="F138" s="7">
        <v>26411</v>
      </c>
      <c r="G138" s="7">
        <f t="shared" si="8"/>
        <v>366028</v>
      </c>
      <c r="I138" s="7">
        <v>81364</v>
      </c>
      <c r="J138" s="7">
        <v>112488</v>
      </c>
      <c r="K138" s="7">
        <v>91791</v>
      </c>
      <c r="L138" s="7">
        <v>76765</v>
      </c>
      <c r="M138" s="7">
        <v>30114</v>
      </c>
      <c r="N138" s="7">
        <f t="shared" si="9"/>
        <v>392522</v>
      </c>
    </row>
    <row r="139" spans="1:14" x14ac:dyDescent="0.25">
      <c r="A139" s="12" t="s">
        <v>251</v>
      </c>
      <c r="B139" s="7">
        <v>85011</v>
      </c>
      <c r="C139" s="7">
        <v>117894</v>
      </c>
      <c r="D139" s="7">
        <v>87639</v>
      </c>
      <c r="E139" s="7">
        <v>83866</v>
      </c>
      <c r="F139" s="7">
        <v>26486</v>
      </c>
      <c r="G139" s="7">
        <f t="shared" si="8"/>
        <v>400896</v>
      </c>
      <c r="I139" s="7">
        <v>94062</v>
      </c>
      <c r="J139" s="7">
        <v>125142</v>
      </c>
      <c r="K139" s="7">
        <v>91691</v>
      </c>
      <c r="L139" s="7">
        <v>98878</v>
      </c>
      <c r="M139" s="7">
        <v>30165</v>
      </c>
      <c r="N139" s="7">
        <f t="shared" si="9"/>
        <v>439938</v>
      </c>
    </row>
    <row r="140" spans="1:14" x14ac:dyDescent="0.25">
      <c r="A140" s="12" t="s">
        <v>252</v>
      </c>
      <c r="B140" s="7">
        <v>86991</v>
      </c>
      <c r="C140" s="7">
        <v>118368</v>
      </c>
      <c r="D140" s="7">
        <v>89128</v>
      </c>
      <c r="E140" s="7">
        <v>85652</v>
      </c>
      <c r="F140" s="7">
        <v>26603</v>
      </c>
      <c r="G140" s="7">
        <f t="shared" si="8"/>
        <v>406742</v>
      </c>
      <c r="I140" s="7">
        <v>95383</v>
      </c>
      <c r="J140" s="7">
        <v>125366</v>
      </c>
      <c r="K140" s="7">
        <v>93571</v>
      </c>
      <c r="L140" s="7">
        <v>101977</v>
      </c>
      <c r="M140" s="7">
        <v>30516</v>
      </c>
      <c r="N140" s="7">
        <f t="shared" si="9"/>
        <v>446813</v>
      </c>
    </row>
    <row r="141" spans="1:14" x14ac:dyDescent="0.25">
      <c r="A141" s="12" t="s">
        <v>253</v>
      </c>
      <c r="B141" s="7">
        <v>87009</v>
      </c>
      <c r="C141" s="7">
        <v>118572</v>
      </c>
      <c r="D141" s="7">
        <v>89316</v>
      </c>
      <c r="E141" s="7">
        <v>86218</v>
      </c>
      <c r="F141" s="7">
        <v>26631</v>
      </c>
      <c r="G141" s="7">
        <f t="shared" si="8"/>
        <v>407746</v>
      </c>
      <c r="I141" s="7">
        <v>95408</v>
      </c>
      <c r="J141" s="7">
        <v>126178</v>
      </c>
      <c r="K141" s="7">
        <v>93815</v>
      </c>
      <c r="L141" s="7">
        <v>102196</v>
      </c>
      <c r="M141" s="7">
        <v>30595</v>
      </c>
      <c r="N141" s="7">
        <f t="shared" si="9"/>
        <v>448192</v>
      </c>
    </row>
    <row r="142" spans="1:14" x14ac:dyDescent="0.25">
      <c r="A142" s="12" t="s">
        <v>254</v>
      </c>
      <c r="B142" s="7">
        <v>87238</v>
      </c>
      <c r="C142" s="7">
        <v>119258</v>
      </c>
      <c r="D142" s="7">
        <v>89458</v>
      </c>
      <c r="E142" s="7">
        <v>86881</v>
      </c>
      <c r="F142" s="7">
        <v>27251</v>
      </c>
      <c r="G142" s="7">
        <f t="shared" si="8"/>
        <v>410086</v>
      </c>
      <c r="I142" s="7">
        <v>95436</v>
      </c>
      <c r="J142" s="7">
        <v>126473</v>
      </c>
      <c r="K142" s="7">
        <v>93868</v>
      </c>
      <c r="L142" s="7">
        <v>102543</v>
      </c>
      <c r="M142" s="7">
        <v>32361</v>
      </c>
      <c r="N142" s="7">
        <f t="shared" si="9"/>
        <v>450681</v>
      </c>
    </row>
    <row r="143" spans="1:14" x14ac:dyDescent="0.25">
      <c r="A143" s="12" t="s">
        <v>255</v>
      </c>
      <c r="B143" s="7">
        <v>87403</v>
      </c>
      <c r="C143" s="7">
        <v>119438</v>
      </c>
      <c r="D143" s="7">
        <v>89641</v>
      </c>
      <c r="E143" s="7">
        <v>87547</v>
      </c>
      <c r="F143" s="7">
        <v>27350</v>
      </c>
      <c r="G143" s="7">
        <f t="shared" si="8"/>
        <v>411379</v>
      </c>
      <c r="I143" s="7">
        <v>95553</v>
      </c>
      <c r="J143" s="7">
        <v>126589</v>
      </c>
      <c r="K143" s="7">
        <v>93966</v>
      </c>
      <c r="L143" s="7">
        <v>102713</v>
      </c>
      <c r="M143" s="7">
        <v>32461</v>
      </c>
      <c r="N143" s="7">
        <f t="shared" si="9"/>
        <v>451282</v>
      </c>
    </row>
    <row r="144" spans="1:14" x14ac:dyDescent="0.25">
      <c r="A144" s="12" t="s">
        <v>256</v>
      </c>
      <c r="B144" s="7">
        <v>90450</v>
      </c>
      <c r="C144" s="7">
        <v>125498</v>
      </c>
      <c r="D144" s="7">
        <v>89900</v>
      </c>
      <c r="E144" s="7">
        <v>88026</v>
      </c>
      <c r="F144" s="7">
        <v>27420</v>
      </c>
      <c r="G144" s="7">
        <f t="shared" si="8"/>
        <v>421294</v>
      </c>
      <c r="I144" s="7">
        <v>98034</v>
      </c>
      <c r="J144" s="7">
        <v>128823</v>
      </c>
      <c r="K144" s="7">
        <v>94185</v>
      </c>
      <c r="L144" s="7">
        <v>102815</v>
      </c>
      <c r="M144" s="7">
        <v>32542</v>
      </c>
      <c r="N144" s="7">
        <f t="shared" si="9"/>
        <v>456399</v>
      </c>
    </row>
    <row r="145" spans="1:14" x14ac:dyDescent="0.25">
      <c r="A145" s="12" t="s">
        <v>257</v>
      </c>
      <c r="B145" s="7">
        <v>90107</v>
      </c>
      <c r="C145" s="7">
        <v>126184</v>
      </c>
      <c r="D145" s="7">
        <v>90769</v>
      </c>
      <c r="E145" s="7">
        <v>88708</v>
      </c>
      <c r="F145" s="7">
        <v>37038</v>
      </c>
      <c r="G145" s="7">
        <f t="shared" si="8"/>
        <v>432806</v>
      </c>
      <c r="I145" s="7">
        <v>97855</v>
      </c>
      <c r="J145" s="7">
        <v>128983</v>
      </c>
      <c r="K145" s="7">
        <v>95644</v>
      </c>
      <c r="L145" s="7">
        <v>103441</v>
      </c>
      <c r="M145" s="7">
        <v>45267</v>
      </c>
      <c r="N145" s="7">
        <f t="shared" si="9"/>
        <v>471190</v>
      </c>
    </row>
    <row r="146" spans="1:14" x14ac:dyDescent="0.25">
      <c r="A146" s="12" t="s">
        <v>258</v>
      </c>
      <c r="B146" s="7">
        <v>90270</v>
      </c>
      <c r="C146" s="7">
        <v>126686</v>
      </c>
      <c r="D146" s="7">
        <v>91029</v>
      </c>
      <c r="E146" s="7">
        <v>89202</v>
      </c>
      <c r="F146" s="7">
        <v>37683</v>
      </c>
      <c r="G146" s="7">
        <f t="shared" si="8"/>
        <v>434870</v>
      </c>
      <c r="I146" s="7">
        <v>97953</v>
      </c>
      <c r="J146" s="7">
        <v>136754</v>
      </c>
      <c r="K146" s="7">
        <v>95906</v>
      </c>
      <c r="L146" s="7">
        <v>103553</v>
      </c>
      <c r="M146" s="7">
        <v>46411</v>
      </c>
      <c r="N146" s="7">
        <f t="shared" si="9"/>
        <v>480577</v>
      </c>
    </row>
    <row r="147" spans="1:14" x14ac:dyDescent="0.25">
      <c r="A147" s="12" t="s">
        <v>259</v>
      </c>
      <c r="B147" s="7">
        <v>90087</v>
      </c>
      <c r="C147" s="7">
        <v>126921</v>
      </c>
      <c r="D147" s="7">
        <v>91357</v>
      </c>
      <c r="E147" s="7">
        <v>89736</v>
      </c>
      <c r="F147" s="7">
        <v>39182</v>
      </c>
      <c r="G147" s="7">
        <f t="shared" si="8"/>
        <v>437283</v>
      </c>
      <c r="I147" s="7">
        <v>98123</v>
      </c>
      <c r="J147" s="7">
        <v>136933</v>
      </c>
      <c r="K147" s="7">
        <v>96212</v>
      </c>
      <c r="L147" s="7">
        <v>103729</v>
      </c>
      <c r="M147" s="7">
        <v>51220</v>
      </c>
      <c r="N147" s="7">
        <f t="shared" si="9"/>
        <v>486217</v>
      </c>
    </row>
    <row r="148" spans="1:14" x14ac:dyDescent="0.25">
      <c r="A148" s="12" t="s">
        <v>260</v>
      </c>
      <c r="B148" s="7">
        <v>90350</v>
      </c>
      <c r="C148" s="7">
        <v>127389</v>
      </c>
      <c r="D148" s="7">
        <v>91702</v>
      </c>
      <c r="E148" s="7">
        <v>90320</v>
      </c>
      <c r="F148" s="7">
        <v>39874</v>
      </c>
      <c r="G148" s="7">
        <f t="shared" si="8"/>
        <v>439635</v>
      </c>
      <c r="I148" s="7">
        <v>98563</v>
      </c>
      <c r="J148" s="7">
        <v>137529</v>
      </c>
      <c r="K148" s="7">
        <v>97122</v>
      </c>
      <c r="L148" s="7">
        <v>103930</v>
      </c>
      <c r="M148" s="7">
        <v>53691</v>
      </c>
      <c r="N148" s="7">
        <f t="shared" si="9"/>
        <v>490835</v>
      </c>
    </row>
    <row r="149" spans="1:14" x14ac:dyDescent="0.25">
      <c r="A149" s="12" t="s">
        <v>261</v>
      </c>
      <c r="B149" s="7">
        <v>90679</v>
      </c>
      <c r="C149" s="7">
        <v>128840</v>
      </c>
      <c r="D149" s="7">
        <v>92287</v>
      </c>
      <c r="E149" s="7">
        <v>90809</v>
      </c>
      <c r="F149" s="7">
        <v>40269</v>
      </c>
      <c r="G149" s="7">
        <f t="shared" si="8"/>
        <v>442884</v>
      </c>
      <c r="I149" s="7">
        <v>98936</v>
      </c>
      <c r="J149" s="7">
        <v>140066</v>
      </c>
      <c r="K149" s="7">
        <v>97639</v>
      </c>
      <c r="L149" s="7">
        <v>104040</v>
      </c>
      <c r="M149" s="7">
        <v>54899</v>
      </c>
      <c r="N149" s="7">
        <f t="shared" si="9"/>
        <v>495580</v>
      </c>
    </row>
    <row r="150" spans="1:14" x14ac:dyDescent="0.25">
      <c r="A150" s="12" t="s">
        <v>262</v>
      </c>
      <c r="B150" s="7">
        <v>90835</v>
      </c>
      <c r="C150" s="7">
        <v>129055</v>
      </c>
      <c r="D150" s="7">
        <v>92683</v>
      </c>
      <c r="E150" s="7">
        <v>91717</v>
      </c>
      <c r="F150" s="7">
        <v>40985</v>
      </c>
      <c r="G150" s="7">
        <f t="shared" si="8"/>
        <v>445275</v>
      </c>
      <c r="I150" s="7">
        <v>99054</v>
      </c>
      <c r="J150" s="7">
        <v>140257</v>
      </c>
      <c r="K150" s="7">
        <v>97989</v>
      </c>
      <c r="L150" s="7">
        <v>104970</v>
      </c>
      <c r="M150" s="7">
        <v>57769</v>
      </c>
      <c r="N150" s="7">
        <f t="shared" si="9"/>
        <v>500039</v>
      </c>
    </row>
    <row r="151" spans="1:14" x14ac:dyDescent="0.25">
      <c r="A151" s="12" t="s">
        <v>263</v>
      </c>
      <c r="B151" s="7">
        <v>90792</v>
      </c>
      <c r="C151" s="7">
        <v>127342</v>
      </c>
      <c r="D151" s="7">
        <v>93430</v>
      </c>
      <c r="E151" s="7">
        <v>92394</v>
      </c>
      <c r="F151" s="7">
        <v>41499</v>
      </c>
      <c r="G151" s="7">
        <f t="shared" si="8"/>
        <v>445457</v>
      </c>
      <c r="I151" s="7">
        <v>98218</v>
      </c>
      <c r="J151" s="7">
        <v>137321</v>
      </c>
      <c r="K151" s="7">
        <v>99999</v>
      </c>
      <c r="L151" s="7">
        <v>105223</v>
      </c>
      <c r="M151" s="7">
        <v>59178</v>
      </c>
      <c r="N151" s="7">
        <f t="shared" si="9"/>
        <v>499939</v>
      </c>
    </row>
    <row r="152" spans="1:14" x14ac:dyDescent="0.25">
      <c r="A152" s="12" t="s">
        <v>264</v>
      </c>
      <c r="B152" s="7">
        <v>99041</v>
      </c>
      <c r="C152" s="7">
        <v>139748</v>
      </c>
      <c r="D152" s="7">
        <v>111335</v>
      </c>
      <c r="E152" s="7">
        <v>102227</v>
      </c>
      <c r="F152" s="7">
        <v>41778</v>
      </c>
      <c r="G152" s="7">
        <f t="shared" si="8"/>
        <v>494129</v>
      </c>
      <c r="I152" s="7">
        <v>111130</v>
      </c>
      <c r="J152" s="7">
        <v>159926</v>
      </c>
      <c r="K152" s="7">
        <v>123388</v>
      </c>
      <c r="L152" s="7">
        <v>117530</v>
      </c>
      <c r="M152" s="7">
        <v>59612</v>
      </c>
      <c r="N152" s="7">
        <f t="shared" si="9"/>
        <v>571586</v>
      </c>
    </row>
    <row r="153" spans="1:14" x14ac:dyDescent="0.25">
      <c r="A153" s="12" t="s">
        <v>265</v>
      </c>
      <c r="B153" s="7">
        <v>101478</v>
      </c>
      <c r="C153" s="7">
        <v>141197</v>
      </c>
      <c r="D153" s="7">
        <v>113542</v>
      </c>
      <c r="E153" s="7">
        <v>104346</v>
      </c>
      <c r="F153" s="7">
        <v>41964</v>
      </c>
      <c r="G153" s="7">
        <f t="shared" si="8"/>
        <v>502527</v>
      </c>
      <c r="I153" s="7">
        <v>114281</v>
      </c>
      <c r="J153" s="7">
        <v>160792</v>
      </c>
      <c r="K153" s="7">
        <v>126032</v>
      </c>
      <c r="L153" s="7">
        <v>119375</v>
      </c>
      <c r="M153" s="7">
        <v>59781</v>
      </c>
      <c r="N153" s="7">
        <f t="shared" si="9"/>
        <v>580261</v>
      </c>
    </row>
    <row r="154" spans="1:14" x14ac:dyDescent="0.25">
      <c r="A154" s="12" t="s">
        <v>266</v>
      </c>
      <c r="B154" s="7">
        <v>103388</v>
      </c>
      <c r="C154" s="7">
        <v>141603</v>
      </c>
      <c r="D154" s="7">
        <v>114043</v>
      </c>
      <c r="E154" s="7">
        <v>105108</v>
      </c>
      <c r="F154" s="7">
        <v>42241</v>
      </c>
      <c r="G154" s="7">
        <f t="shared" si="8"/>
        <v>506383</v>
      </c>
      <c r="I154" s="7">
        <v>115754</v>
      </c>
      <c r="J154" s="7">
        <v>161166</v>
      </c>
      <c r="K154" s="7">
        <v>126228</v>
      </c>
      <c r="L154" s="7">
        <v>119584</v>
      </c>
      <c r="M154" s="7">
        <v>60211</v>
      </c>
      <c r="N154" s="7">
        <f t="shared" si="9"/>
        <v>582943</v>
      </c>
    </row>
    <row r="155" spans="1:14" x14ac:dyDescent="0.25">
      <c r="A155" s="12" t="s">
        <v>267</v>
      </c>
      <c r="B155" s="7">
        <v>103463</v>
      </c>
      <c r="C155" s="7">
        <v>142472</v>
      </c>
      <c r="D155" s="7">
        <v>111862</v>
      </c>
      <c r="E155" s="7">
        <v>105708</v>
      </c>
      <c r="F155" s="7">
        <v>42518</v>
      </c>
      <c r="G155" s="7">
        <f t="shared" si="8"/>
        <v>506023</v>
      </c>
      <c r="I155" s="7">
        <v>116151</v>
      </c>
      <c r="J155" s="7">
        <v>163185</v>
      </c>
      <c r="K155" s="7">
        <v>123721</v>
      </c>
      <c r="L155" s="7">
        <v>119536</v>
      </c>
      <c r="M155" s="7">
        <v>60641</v>
      </c>
      <c r="N155" s="7">
        <f t="shared" si="9"/>
        <v>583234</v>
      </c>
    </row>
    <row r="156" spans="1:14" x14ac:dyDescent="0.25">
      <c r="A156" s="12" t="s">
        <v>268</v>
      </c>
      <c r="B156" s="7">
        <v>104057</v>
      </c>
      <c r="C156" s="7">
        <v>143333</v>
      </c>
      <c r="D156" s="7">
        <v>115185</v>
      </c>
      <c r="E156" s="7">
        <v>106665</v>
      </c>
      <c r="F156" s="7">
        <v>42156</v>
      </c>
      <c r="G156" s="7">
        <f t="shared" si="8"/>
        <v>511396</v>
      </c>
      <c r="I156" s="7">
        <v>116621</v>
      </c>
      <c r="J156" s="7">
        <v>163392</v>
      </c>
      <c r="K156" s="7">
        <v>126907</v>
      </c>
      <c r="L156" s="7">
        <v>119921</v>
      </c>
      <c r="M156" s="7">
        <v>59481</v>
      </c>
      <c r="N156" s="7">
        <f t="shared" si="9"/>
        <v>586322</v>
      </c>
    </row>
    <row r="157" spans="1:14" x14ac:dyDescent="0.25">
      <c r="A157" s="12" t="s">
        <v>269</v>
      </c>
      <c r="B157" s="7">
        <v>104368</v>
      </c>
      <c r="C157" s="7">
        <v>143038</v>
      </c>
      <c r="D157" s="7">
        <v>115708</v>
      </c>
      <c r="E157" s="7">
        <v>107550</v>
      </c>
      <c r="F157" s="7">
        <v>42439</v>
      </c>
      <c r="G157" s="7">
        <f t="shared" si="8"/>
        <v>513103</v>
      </c>
      <c r="I157" s="7">
        <v>116766</v>
      </c>
      <c r="J157" s="7">
        <v>163314</v>
      </c>
      <c r="K157" s="7">
        <v>127109</v>
      </c>
      <c r="L157" s="7">
        <v>120498</v>
      </c>
      <c r="M157" s="7">
        <v>59981</v>
      </c>
      <c r="N157" s="7">
        <f t="shared" si="9"/>
        <v>587668</v>
      </c>
    </row>
    <row r="158" spans="1:14" x14ac:dyDescent="0.25">
      <c r="A158" s="12" t="s">
        <v>270</v>
      </c>
      <c r="B158" s="7">
        <v>105955</v>
      </c>
      <c r="C158" s="7">
        <v>143471</v>
      </c>
      <c r="D158" s="7">
        <v>116211</v>
      </c>
      <c r="E158" s="7">
        <v>108316</v>
      </c>
      <c r="F158" s="7">
        <v>54203</v>
      </c>
      <c r="G158" s="7">
        <f t="shared" si="8"/>
        <v>528156</v>
      </c>
      <c r="I158" s="7">
        <v>118692</v>
      </c>
      <c r="J158" s="7">
        <v>163727</v>
      </c>
      <c r="K158" s="7">
        <v>127480</v>
      </c>
      <c r="L158" s="7">
        <v>120710</v>
      </c>
      <c r="M158" s="7">
        <v>66541</v>
      </c>
      <c r="N158" s="7">
        <f t="shared" si="9"/>
        <v>597150</v>
      </c>
    </row>
    <row r="159" spans="1:14" x14ac:dyDescent="0.25">
      <c r="A159" s="12" t="s">
        <v>271</v>
      </c>
      <c r="B159" s="7">
        <v>107189</v>
      </c>
      <c r="C159" s="7">
        <v>142239</v>
      </c>
      <c r="D159" s="7">
        <v>116290</v>
      </c>
      <c r="E159" s="7">
        <v>108775</v>
      </c>
      <c r="F159" s="7">
        <v>55706</v>
      </c>
      <c r="G159" s="7">
        <f t="shared" si="8"/>
        <v>530199</v>
      </c>
      <c r="I159" s="7">
        <v>120116</v>
      </c>
      <c r="J159" s="7">
        <v>160774</v>
      </c>
      <c r="K159" s="7">
        <v>127727</v>
      </c>
      <c r="L159" s="7">
        <v>120758</v>
      </c>
      <c r="M159" s="7">
        <v>67643</v>
      </c>
      <c r="N159" s="7">
        <f t="shared" si="9"/>
        <v>597018</v>
      </c>
    </row>
    <row r="160" spans="1:14" x14ac:dyDescent="0.25">
      <c r="A160" s="12" t="s">
        <v>272</v>
      </c>
      <c r="B160" s="7">
        <v>107510</v>
      </c>
      <c r="C160" s="7">
        <v>142588</v>
      </c>
      <c r="D160" s="7">
        <v>116787</v>
      </c>
      <c r="E160" s="7">
        <v>109535</v>
      </c>
      <c r="F160" s="7">
        <v>55887</v>
      </c>
      <c r="G160" s="7">
        <f t="shared" si="8"/>
        <v>532307</v>
      </c>
      <c r="I160" s="7">
        <v>120286</v>
      </c>
      <c r="J160" s="7">
        <v>161133</v>
      </c>
      <c r="K160" s="7">
        <v>127939</v>
      </c>
      <c r="L160" s="7">
        <v>120973</v>
      </c>
      <c r="M160" s="7">
        <v>67913</v>
      </c>
      <c r="N160" s="7">
        <f t="shared" si="9"/>
        <v>598244</v>
      </c>
    </row>
    <row r="161" spans="1:14" x14ac:dyDescent="0.25">
      <c r="A161" s="12" t="s">
        <v>273</v>
      </c>
      <c r="B161" s="7">
        <v>107829</v>
      </c>
      <c r="C161" s="7">
        <v>142869</v>
      </c>
      <c r="D161" s="7">
        <v>118821</v>
      </c>
      <c r="E161" s="7">
        <v>110021</v>
      </c>
      <c r="F161" s="7">
        <v>56069</v>
      </c>
      <c r="G161" s="7">
        <f t="shared" si="8"/>
        <v>535609</v>
      </c>
      <c r="I161" s="7">
        <v>120455</v>
      </c>
      <c r="J161" s="7">
        <v>161419</v>
      </c>
      <c r="K161" s="7">
        <v>130109</v>
      </c>
      <c r="L161" s="7">
        <v>121144</v>
      </c>
      <c r="M161" s="7">
        <v>67998</v>
      </c>
      <c r="N161" s="7">
        <f t="shared" si="9"/>
        <v>601125</v>
      </c>
    </row>
    <row r="162" spans="1:14" x14ac:dyDescent="0.25">
      <c r="A162" s="12" t="s">
        <v>274</v>
      </c>
      <c r="B162" s="7">
        <v>108150</v>
      </c>
      <c r="C162" s="7">
        <v>143314</v>
      </c>
      <c r="D162" s="7">
        <v>118984</v>
      </c>
      <c r="E162" s="7">
        <v>110175</v>
      </c>
      <c r="F162" s="7">
        <v>58024</v>
      </c>
      <c r="G162" s="7">
        <f t="shared" si="8"/>
        <v>538647</v>
      </c>
      <c r="I162" s="7">
        <v>120625</v>
      </c>
      <c r="J162" s="7">
        <v>159617</v>
      </c>
      <c r="K162" s="7">
        <v>128771</v>
      </c>
      <c r="L162" s="7">
        <v>120954</v>
      </c>
      <c r="M162" s="7">
        <v>70054</v>
      </c>
      <c r="N162" s="7">
        <f t="shared" si="9"/>
        <v>600021</v>
      </c>
    </row>
    <row r="163" spans="1:14" x14ac:dyDescent="0.25">
      <c r="A163" s="12" t="s">
        <v>275</v>
      </c>
      <c r="B163" s="7">
        <v>109037</v>
      </c>
      <c r="C163" s="7">
        <v>145860</v>
      </c>
      <c r="D163" s="7">
        <v>119559</v>
      </c>
      <c r="E163" s="7">
        <v>110462</v>
      </c>
      <c r="F163" s="7">
        <v>58246</v>
      </c>
      <c r="G163" s="7">
        <f t="shared" si="8"/>
        <v>543164</v>
      </c>
      <c r="I163" s="7">
        <v>121317</v>
      </c>
      <c r="J163" s="7">
        <v>162319</v>
      </c>
      <c r="K163" s="7">
        <v>129585</v>
      </c>
      <c r="L163" s="7">
        <v>120903</v>
      </c>
      <c r="M163" s="7">
        <v>70288</v>
      </c>
      <c r="N163" s="7">
        <f t="shared" si="9"/>
        <v>604412</v>
      </c>
    </row>
    <row r="164" spans="1:14" x14ac:dyDescent="0.25">
      <c r="A164" s="12" t="s">
        <v>276</v>
      </c>
      <c r="B164" s="7">
        <v>109559</v>
      </c>
      <c r="C164" s="7">
        <v>146075</v>
      </c>
      <c r="D164" s="7">
        <v>120035</v>
      </c>
      <c r="E164" s="7">
        <v>110947</v>
      </c>
      <c r="F164" s="7">
        <v>58683</v>
      </c>
      <c r="G164" s="7">
        <f t="shared" si="8"/>
        <v>545299</v>
      </c>
      <c r="I164" s="7">
        <v>125589</v>
      </c>
      <c r="J164" s="7">
        <v>162089</v>
      </c>
      <c r="K164" s="7">
        <v>130360</v>
      </c>
      <c r="L164" s="7">
        <v>121903</v>
      </c>
      <c r="M164" s="7">
        <v>70678</v>
      </c>
      <c r="N164" s="7">
        <f t="shared" si="9"/>
        <v>610619</v>
      </c>
    </row>
    <row r="165" spans="1:14" x14ac:dyDescent="0.25">
      <c r="A165" s="12" t="s">
        <v>277</v>
      </c>
      <c r="B165" s="7">
        <v>113922</v>
      </c>
      <c r="C165" s="7">
        <v>146237</v>
      </c>
      <c r="D165" s="7">
        <v>121090</v>
      </c>
      <c r="E165" s="7">
        <v>122687</v>
      </c>
      <c r="F165" s="7">
        <v>58665</v>
      </c>
      <c r="G165" s="7">
        <f t="shared" ref="G165:G196" si="10">SUM(B165:F165)</f>
        <v>562601</v>
      </c>
      <c r="I165" s="7">
        <v>131059</v>
      </c>
      <c r="J165" s="7">
        <v>163019</v>
      </c>
      <c r="K165" s="7">
        <v>131278</v>
      </c>
      <c r="L165" s="7">
        <v>137988</v>
      </c>
      <c r="M165" s="7">
        <v>71083</v>
      </c>
      <c r="N165" s="7">
        <f t="shared" ref="N165:N196" si="11">SUM(I165:M165)</f>
        <v>634427</v>
      </c>
    </row>
    <row r="166" spans="1:14" x14ac:dyDescent="0.25">
      <c r="A166" s="12" t="s">
        <v>278</v>
      </c>
      <c r="B166" s="7">
        <v>116336</v>
      </c>
      <c r="C166" s="7">
        <v>178732</v>
      </c>
      <c r="D166" s="7">
        <v>179605</v>
      </c>
      <c r="E166" s="7">
        <v>123664</v>
      </c>
      <c r="F166" s="7">
        <v>58673</v>
      </c>
      <c r="G166" s="7">
        <f t="shared" si="10"/>
        <v>657010</v>
      </c>
      <c r="I166" s="7">
        <v>134517</v>
      </c>
      <c r="J166" s="7">
        <v>197509</v>
      </c>
      <c r="K166" s="7">
        <v>172941</v>
      </c>
      <c r="L166" s="7">
        <v>138688</v>
      </c>
      <c r="M166" s="7">
        <v>71488</v>
      </c>
      <c r="N166" s="7">
        <f t="shared" si="11"/>
        <v>715143</v>
      </c>
    </row>
    <row r="167" spans="1:14" x14ac:dyDescent="0.25">
      <c r="A167" s="12" t="s">
        <v>279</v>
      </c>
      <c r="B167" s="7">
        <v>116946</v>
      </c>
      <c r="C167" s="7">
        <v>186627</v>
      </c>
      <c r="D167" s="7">
        <v>180861</v>
      </c>
      <c r="E167" s="7">
        <v>124569</v>
      </c>
      <c r="F167" s="7">
        <v>58904</v>
      </c>
      <c r="G167" s="7">
        <f t="shared" si="10"/>
        <v>667907</v>
      </c>
      <c r="I167" s="7">
        <v>135152</v>
      </c>
      <c r="J167" s="7">
        <v>202830</v>
      </c>
      <c r="K167" s="7">
        <v>184398</v>
      </c>
      <c r="L167" s="7">
        <v>139307</v>
      </c>
      <c r="M167" s="7">
        <v>71743</v>
      </c>
      <c r="N167" s="7">
        <f t="shared" si="11"/>
        <v>733430</v>
      </c>
    </row>
    <row r="168" spans="1:14" x14ac:dyDescent="0.25">
      <c r="A168" s="12" t="s">
        <v>280</v>
      </c>
      <c r="B168" s="7">
        <v>117782</v>
      </c>
      <c r="C168" s="7">
        <v>186174</v>
      </c>
      <c r="D168" s="7">
        <v>180003</v>
      </c>
      <c r="E168" s="7">
        <v>124608</v>
      </c>
      <c r="F168" s="7">
        <v>59226</v>
      </c>
      <c r="G168" s="7">
        <f t="shared" si="10"/>
        <v>667793</v>
      </c>
      <c r="I168" s="7">
        <v>136273</v>
      </c>
      <c r="J168" s="7">
        <v>202119</v>
      </c>
      <c r="K168" s="7">
        <v>186880</v>
      </c>
      <c r="L168" s="7">
        <v>138678</v>
      </c>
      <c r="M168" s="7">
        <v>72501</v>
      </c>
      <c r="N168" s="7">
        <f t="shared" si="11"/>
        <v>736451</v>
      </c>
    </row>
    <row r="169" spans="1:14" x14ac:dyDescent="0.25">
      <c r="A169" s="12" t="s">
        <v>281</v>
      </c>
      <c r="B169" s="7">
        <v>118156</v>
      </c>
      <c r="C169" s="7">
        <v>188509</v>
      </c>
      <c r="D169" s="7">
        <v>181229</v>
      </c>
      <c r="E169" s="7">
        <v>125861</v>
      </c>
      <c r="F169" s="7">
        <v>59460</v>
      </c>
      <c r="G169" s="7">
        <f t="shared" si="10"/>
        <v>673215</v>
      </c>
      <c r="I169" s="7">
        <v>136621</v>
      </c>
      <c r="J169" s="7">
        <v>203740</v>
      </c>
      <c r="K169" s="7">
        <v>193112</v>
      </c>
      <c r="L169" s="7">
        <v>140182</v>
      </c>
      <c r="M169" s="7">
        <v>72766</v>
      </c>
      <c r="N169" s="7">
        <f t="shared" si="11"/>
        <v>746421</v>
      </c>
    </row>
    <row r="170" spans="1:14" x14ac:dyDescent="0.25">
      <c r="A170" s="12" t="s">
        <v>282</v>
      </c>
      <c r="B170" s="7">
        <v>121120</v>
      </c>
      <c r="C170" s="7">
        <v>201136</v>
      </c>
      <c r="D170" s="7">
        <v>181640</v>
      </c>
      <c r="E170" s="7">
        <v>126320</v>
      </c>
      <c r="F170" s="7">
        <v>59046</v>
      </c>
      <c r="G170" s="7">
        <f t="shared" si="10"/>
        <v>689262</v>
      </c>
      <c r="I170" s="7">
        <v>140401</v>
      </c>
      <c r="J170" s="7">
        <v>214219</v>
      </c>
      <c r="K170" s="7">
        <v>194007</v>
      </c>
      <c r="L170" s="7">
        <v>141406</v>
      </c>
      <c r="M170" s="7">
        <v>72430</v>
      </c>
      <c r="N170" s="7">
        <f t="shared" si="11"/>
        <v>762463</v>
      </c>
    </row>
    <row r="171" spans="1:14" x14ac:dyDescent="0.25">
      <c r="A171" s="12" t="s">
        <v>283</v>
      </c>
      <c r="B171" s="7">
        <v>120993</v>
      </c>
      <c r="C171" s="7">
        <v>201299</v>
      </c>
      <c r="D171" s="7">
        <v>181897</v>
      </c>
      <c r="E171" s="7">
        <v>126991</v>
      </c>
      <c r="F171" s="7">
        <v>60948</v>
      </c>
      <c r="G171" s="7">
        <f t="shared" si="10"/>
        <v>692128</v>
      </c>
      <c r="I171" s="7">
        <v>140576</v>
      </c>
      <c r="J171" s="7">
        <v>213574</v>
      </c>
      <c r="K171" s="7">
        <v>194158</v>
      </c>
      <c r="L171" s="7">
        <v>141767</v>
      </c>
      <c r="M171" s="7">
        <v>76034</v>
      </c>
      <c r="N171" s="7">
        <f t="shared" si="11"/>
        <v>766109</v>
      </c>
    </row>
    <row r="172" spans="1:14" x14ac:dyDescent="0.25">
      <c r="A172" s="12" t="s">
        <v>284</v>
      </c>
      <c r="B172" s="7">
        <v>121375</v>
      </c>
      <c r="C172" s="7">
        <v>201557</v>
      </c>
      <c r="D172" s="7">
        <v>181503</v>
      </c>
      <c r="E172" s="7">
        <v>127413</v>
      </c>
      <c r="F172" s="7">
        <v>61206</v>
      </c>
      <c r="G172" s="7">
        <f t="shared" si="10"/>
        <v>693054</v>
      </c>
      <c r="I172" s="7">
        <v>140951</v>
      </c>
      <c r="J172" s="7">
        <v>213721</v>
      </c>
      <c r="K172" s="7">
        <v>192177</v>
      </c>
      <c r="L172" s="7">
        <v>142135</v>
      </c>
      <c r="M172" s="7">
        <v>76332</v>
      </c>
      <c r="N172" s="7">
        <f t="shared" si="11"/>
        <v>765316</v>
      </c>
    </row>
    <row r="173" spans="1:14" x14ac:dyDescent="0.25">
      <c r="A173" s="12" t="s">
        <v>285</v>
      </c>
      <c r="B173" s="7">
        <v>121674</v>
      </c>
      <c r="C173" s="7">
        <v>201777</v>
      </c>
      <c r="D173" s="7">
        <v>182065</v>
      </c>
      <c r="E173" s="7">
        <v>127698</v>
      </c>
      <c r="F173" s="7">
        <v>63811</v>
      </c>
      <c r="G173" s="7">
        <f t="shared" si="10"/>
        <v>697025</v>
      </c>
      <c r="I173" s="7">
        <v>141317</v>
      </c>
      <c r="J173" s="7">
        <v>213666</v>
      </c>
      <c r="K173" s="7">
        <v>192911</v>
      </c>
      <c r="L173" s="7">
        <v>142190</v>
      </c>
      <c r="M173" s="7">
        <v>78515</v>
      </c>
      <c r="N173" s="7">
        <f t="shared" si="11"/>
        <v>768599</v>
      </c>
    </row>
    <row r="174" spans="1:14" x14ac:dyDescent="0.25">
      <c r="A174" s="12" t="s">
        <v>286</v>
      </c>
      <c r="B174" s="7">
        <v>122060</v>
      </c>
      <c r="C174" s="7">
        <v>201085</v>
      </c>
      <c r="D174" s="7">
        <v>182328</v>
      </c>
      <c r="E174" s="7">
        <v>127846</v>
      </c>
      <c r="F174" s="7">
        <v>64122</v>
      </c>
      <c r="G174" s="7">
        <f t="shared" si="10"/>
        <v>697441</v>
      </c>
      <c r="I174" s="7">
        <v>141692</v>
      </c>
      <c r="J174" s="7">
        <v>213611</v>
      </c>
      <c r="K174" s="7">
        <v>193700</v>
      </c>
      <c r="L174" s="7">
        <v>141980</v>
      </c>
      <c r="M174" s="7">
        <v>78785</v>
      </c>
      <c r="N174" s="7">
        <f t="shared" si="11"/>
        <v>769768</v>
      </c>
    </row>
    <row r="175" spans="1:14" x14ac:dyDescent="0.25">
      <c r="A175" s="12" t="s">
        <v>287</v>
      </c>
      <c r="B175" s="7">
        <v>122811</v>
      </c>
      <c r="C175" s="7">
        <v>201472</v>
      </c>
      <c r="D175" s="7">
        <v>182714</v>
      </c>
      <c r="E175" s="7">
        <v>128194</v>
      </c>
      <c r="F175" s="7">
        <v>64435</v>
      </c>
      <c r="G175" s="7">
        <f t="shared" si="10"/>
        <v>699626</v>
      </c>
      <c r="I175" s="7">
        <v>142916</v>
      </c>
      <c r="J175" s="7">
        <v>214291</v>
      </c>
      <c r="K175" s="7">
        <v>194097</v>
      </c>
      <c r="L175" s="7">
        <v>141865</v>
      </c>
      <c r="M175" s="7">
        <v>79062</v>
      </c>
      <c r="N175" s="7">
        <f t="shared" si="11"/>
        <v>772231</v>
      </c>
    </row>
    <row r="176" spans="1:14" x14ac:dyDescent="0.25">
      <c r="A176" s="12" t="s">
        <v>288</v>
      </c>
      <c r="B176" s="7">
        <v>123205</v>
      </c>
      <c r="C176" s="7">
        <v>202048</v>
      </c>
      <c r="D176" s="7">
        <v>182981</v>
      </c>
      <c r="E176" s="7">
        <v>128925</v>
      </c>
      <c r="F176" s="7">
        <v>64849</v>
      </c>
      <c r="G176" s="7">
        <f t="shared" si="10"/>
        <v>702008</v>
      </c>
      <c r="I176" s="7">
        <v>143300</v>
      </c>
      <c r="J176" s="7">
        <v>215518</v>
      </c>
      <c r="K176" s="7">
        <v>194211</v>
      </c>
      <c r="L176" s="7">
        <v>143166</v>
      </c>
      <c r="M176" s="7">
        <v>79317</v>
      </c>
      <c r="N176" s="7">
        <f t="shared" si="11"/>
        <v>775512</v>
      </c>
    </row>
    <row r="177" spans="1:14" x14ac:dyDescent="0.25">
      <c r="A177" s="12" t="s">
        <v>289</v>
      </c>
      <c r="B177" s="7">
        <v>125977</v>
      </c>
      <c r="C177" s="7">
        <v>202435</v>
      </c>
      <c r="D177" s="7">
        <v>184318</v>
      </c>
      <c r="E177" s="7">
        <v>128758</v>
      </c>
      <c r="F177" s="7">
        <v>65326</v>
      </c>
      <c r="G177" s="7">
        <f t="shared" si="10"/>
        <v>706814</v>
      </c>
      <c r="I177" s="7">
        <v>143802</v>
      </c>
      <c r="J177" s="7">
        <v>216076</v>
      </c>
      <c r="K177" s="7">
        <v>194173</v>
      </c>
      <c r="L177" s="7">
        <v>142891</v>
      </c>
      <c r="M177" s="7">
        <v>79520</v>
      </c>
      <c r="N177" s="7">
        <f t="shared" si="11"/>
        <v>776462</v>
      </c>
    </row>
    <row r="178" spans="1:14" x14ac:dyDescent="0.25">
      <c r="A178" s="12" t="s">
        <v>290</v>
      </c>
      <c r="B178" s="7">
        <v>162132</v>
      </c>
      <c r="C178" s="7">
        <v>205403</v>
      </c>
      <c r="D178" s="7">
        <v>198381</v>
      </c>
      <c r="E178" s="7">
        <v>142352</v>
      </c>
      <c r="F178" s="7">
        <v>65835</v>
      </c>
      <c r="G178" s="7">
        <f t="shared" si="10"/>
        <v>774103</v>
      </c>
      <c r="I178" s="7">
        <v>188237</v>
      </c>
      <c r="J178" s="7">
        <v>222883</v>
      </c>
      <c r="K178" s="7">
        <v>229799</v>
      </c>
      <c r="L178" s="7">
        <v>162687</v>
      </c>
      <c r="M178" s="7">
        <v>79805</v>
      </c>
      <c r="N178" s="7">
        <f t="shared" si="11"/>
        <v>883411</v>
      </c>
    </row>
    <row r="179" spans="1:14" x14ac:dyDescent="0.25">
      <c r="A179" s="12" t="s">
        <v>291</v>
      </c>
      <c r="B179" s="7">
        <v>166031</v>
      </c>
      <c r="C179" s="7">
        <v>208366</v>
      </c>
      <c r="D179" s="7">
        <v>201992</v>
      </c>
      <c r="E179" s="7">
        <v>143343</v>
      </c>
      <c r="F179" s="7">
        <v>66158</v>
      </c>
      <c r="G179" s="7">
        <f t="shared" si="10"/>
        <v>785890</v>
      </c>
      <c r="I179" s="7">
        <v>190567</v>
      </c>
      <c r="J179" s="7">
        <v>227810</v>
      </c>
      <c r="K179" s="7">
        <v>236347</v>
      </c>
      <c r="L179" s="7">
        <v>164186</v>
      </c>
      <c r="M179" s="7">
        <v>80069</v>
      </c>
      <c r="N179" s="7">
        <f t="shared" si="11"/>
        <v>898979</v>
      </c>
    </row>
    <row r="180" spans="1:14" x14ac:dyDescent="0.25">
      <c r="A180" s="12" t="s">
        <v>292</v>
      </c>
      <c r="B180" s="7">
        <v>167120</v>
      </c>
      <c r="C180" s="7">
        <v>208618</v>
      </c>
      <c r="D180" s="7">
        <v>206629</v>
      </c>
      <c r="E180" s="7">
        <v>144146</v>
      </c>
      <c r="F180" s="7">
        <v>66481</v>
      </c>
      <c r="G180" s="7">
        <f t="shared" si="10"/>
        <v>792994</v>
      </c>
      <c r="I180" s="7">
        <v>190937</v>
      </c>
      <c r="J180" s="7">
        <v>226792</v>
      </c>
      <c r="K180" s="7">
        <v>246847</v>
      </c>
      <c r="L180" s="7">
        <v>164687</v>
      </c>
      <c r="M180" s="7">
        <v>80334</v>
      </c>
      <c r="N180" s="7">
        <f t="shared" si="11"/>
        <v>909597</v>
      </c>
    </row>
    <row r="181" spans="1:14" x14ac:dyDescent="0.25">
      <c r="A181" s="12" t="s">
        <v>293</v>
      </c>
      <c r="B181" s="7">
        <v>169840</v>
      </c>
      <c r="C181" s="7">
        <v>209841</v>
      </c>
      <c r="D181" s="7">
        <v>207256</v>
      </c>
      <c r="E181" s="7">
        <v>144318</v>
      </c>
      <c r="F181" s="7">
        <v>66845</v>
      </c>
      <c r="G181" s="7">
        <f t="shared" si="10"/>
        <v>798100</v>
      </c>
      <c r="I181" s="7">
        <v>193031</v>
      </c>
      <c r="J181" s="7">
        <v>228556</v>
      </c>
      <c r="K181" s="7">
        <v>246655</v>
      </c>
      <c r="L181" s="7">
        <v>164735</v>
      </c>
      <c r="M181" s="7">
        <v>80599</v>
      </c>
      <c r="N181" s="7">
        <f t="shared" si="11"/>
        <v>913576</v>
      </c>
    </row>
    <row r="182" spans="1:14" x14ac:dyDescent="0.25">
      <c r="A182" s="12" t="s">
        <v>294</v>
      </c>
      <c r="B182" s="7">
        <v>170970</v>
      </c>
      <c r="C182" s="7">
        <v>211115</v>
      </c>
      <c r="D182" s="7">
        <v>208512</v>
      </c>
      <c r="E182" s="7">
        <v>144808</v>
      </c>
      <c r="F182" s="7">
        <v>67169</v>
      </c>
      <c r="G182" s="7">
        <f t="shared" si="10"/>
        <v>802574</v>
      </c>
      <c r="I182" s="7">
        <v>193398</v>
      </c>
      <c r="J182" s="7">
        <v>230898</v>
      </c>
      <c r="K182" s="7">
        <v>247526</v>
      </c>
      <c r="L182" s="7">
        <v>164973</v>
      </c>
      <c r="M182" s="7">
        <v>80862</v>
      </c>
      <c r="N182" s="7">
        <f t="shared" si="11"/>
        <v>917657</v>
      </c>
    </row>
    <row r="183" spans="1:14" x14ac:dyDescent="0.25">
      <c r="A183" s="12" t="s">
        <v>295</v>
      </c>
      <c r="B183" s="7">
        <v>176415</v>
      </c>
      <c r="C183" s="7">
        <v>211642</v>
      </c>
      <c r="D183" s="7">
        <v>209620</v>
      </c>
      <c r="E183" s="7">
        <v>146208</v>
      </c>
      <c r="F183" s="7">
        <v>69427</v>
      </c>
      <c r="G183" s="7">
        <f t="shared" si="10"/>
        <v>813312</v>
      </c>
      <c r="I183" s="7">
        <v>200479</v>
      </c>
      <c r="J183" s="7">
        <v>231290</v>
      </c>
      <c r="K183" s="7">
        <v>247315</v>
      </c>
      <c r="L183" s="7">
        <v>168023</v>
      </c>
      <c r="M183" s="7">
        <v>84676</v>
      </c>
      <c r="N183" s="7">
        <f t="shared" si="11"/>
        <v>931783</v>
      </c>
    </row>
    <row r="184" spans="1:14" x14ac:dyDescent="0.25">
      <c r="A184" s="12" t="s">
        <v>296</v>
      </c>
      <c r="B184" s="7">
        <v>177406</v>
      </c>
      <c r="C184" s="7">
        <v>212156</v>
      </c>
      <c r="D184" s="7">
        <v>211122</v>
      </c>
      <c r="E184" s="7">
        <v>146769</v>
      </c>
      <c r="F184" s="7">
        <v>80465</v>
      </c>
      <c r="G184" s="7">
        <f t="shared" si="10"/>
        <v>827918</v>
      </c>
      <c r="I184" s="7">
        <v>200884</v>
      </c>
      <c r="J184" s="7">
        <v>231403</v>
      </c>
      <c r="K184" s="7">
        <v>248385</v>
      </c>
      <c r="L184" s="7">
        <v>168878</v>
      </c>
      <c r="M184" s="7">
        <v>96629</v>
      </c>
      <c r="N184" s="7">
        <f t="shared" si="11"/>
        <v>946179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/>
  </sheetViews>
  <sheetFormatPr defaultRowHeight="15" x14ac:dyDescent="0.25"/>
  <cols>
    <col min="1" max="1" width="34" customWidth="1"/>
    <col min="2" max="12" width="12" customWidth="1"/>
  </cols>
  <sheetData>
    <row r="1" spans="1:12" ht="21.95" customHeight="1" x14ac:dyDescent="0.25">
      <c r="A1" s="16" t="s">
        <v>297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7" t="s">
        <v>298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25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</row>
    <row r="5" spans="1:12" x14ac:dyDescent="0.25">
      <c r="A5" s="12" t="s">
        <v>311</v>
      </c>
      <c r="B5" s="5">
        <v>769</v>
      </c>
      <c r="C5" s="5">
        <v>824</v>
      </c>
      <c r="D5" s="5">
        <v>1107</v>
      </c>
      <c r="E5" s="5">
        <v>1254</v>
      </c>
      <c r="F5" s="5">
        <v>1540</v>
      </c>
      <c r="G5" s="5">
        <v>1823</v>
      </c>
      <c r="H5" s="5">
        <v>3660</v>
      </c>
      <c r="I5" s="5">
        <v>4734</v>
      </c>
      <c r="J5" s="5">
        <v>5683</v>
      </c>
      <c r="K5" s="5">
        <v>8163</v>
      </c>
      <c r="L5" s="5">
        <v>9338</v>
      </c>
    </row>
    <row r="6" spans="1:12" x14ac:dyDescent="0.25">
      <c r="A6" s="12" t="s">
        <v>312</v>
      </c>
      <c r="B6" s="5">
        <v>10800</v>
      </c>
      <c r="C6" s="5">
        <v>12393</v>
      </c>
      <c r="D6" s="5">
        <v>16284</v>
      </c>
      <c r="E6" s="5">
        <v>20604</v>
      </c>
      <c r="F6" s="5">
        <v>26288</v>
      </c>
      <c r="G6" s="5">
        <v>33995</v>
      </c>
      <c r="H6" s="5">
        <v>43928</v>
      </c>
      <c r="I6" s="5">
        <v>55014</v>
      </c>
      <c r="J6" s="5">
        <v>68465</v>
      </c>
      <c r="K6" s="5">
        <v>93943</v>
      </c>
      <c r="L6" s="5">
        <v>137921</v>
      </c>
    </row>
    <row r="7" spans="1:12" x14ac:dyDescent="0.25">
      <c r="A7" s="12" t="s">
        <v>313</v>
      </c>
      <c r="B7" s="5">
        <v>3577</v>
      </c>
      <c r="C7" s="5">
        <v>3659</v>
      </c>
      <c r="D7" s="5">
        <v>5064</v>
      </c>
      <c r="E7" s="5">
        <v>4735</v>
      </c>
      <c r="F7" s="5">
        <v>5316</v>
      </c>
      <c r="G7" s="5">
        <v>5487</v>
      </c>
      <c r="H7" s="5">
        <v>6884</v>
      </c>
      <c r="I7" s="5">
        <v>7819</v>
      </c>
      <c r="J7" s="5">
        <v>8537</v>
      </c>
      <c r="K7" s="5">
        <v>9594</v>
      </c>
      <c r="L7" s="5">
        <v>12117</v>
      </c>
    </row>
    <row r="8" spans="1:12" x14ac:dyDescent="0.25">
      <c r="A8" s="12" t="s">
        <v>314</v>
      </c>
      <c r="B8" s="5">
        <v>3579</v>
      </c>
      <c r="C8" s="5">
        <v>3889</v>
      </c>
      <c r="D8" s="5">
        <v>4044</v>
      </c>
      <c r="E8" s="5">
        <v>4457</v>
      </c>
      <c r="F8" s="5">
        <v>4840</v>
      </c>
      <c r="G8" s="5">
        <v>4782</v>
      </c>
      <c r="H8" s="5">
        <v>5344</v>
      </c>
      <c r="I8" s="5">
        <v>5860</v>
      </c>
      <c r="J8" s="5">
        <v>6246</v>
      </c>
      <c r="K8" s="5">
        <v>6532</v>
      </c>
      <c r="L8" s="5">
        <v>6407</v>
      </c>
    </row>
    <row r="9" spans="1:12" x14ac:dyDescent="0.25">
      <c r="A9" s="12" t="s">
        <v>315</v>
      </c>
      <c r="B9" s="7">
        <f t="shared" ref="B9:L9" si="0">B10-B5-B6-B7-B8</f>
        <v>13612</v>
      </c>
      <c r="C9" s="7">
        <f t="shared" si="0"/>
        <v>17391</v>
      </c>
      <c r="D9" s="7">
        <f t="shared" si="0"/>
        <v>21414</v>
      </c>
      <c r="E9" s="7">
        <f t="shared" si="0"/>
        <v>27633</v>
      </c>
      <c r="F9" s="7">
        <f t="shared" si="0"/>
        <v>33823</v>
      </c>
      <c r="G9" s="7">
        <f t="shared" si="0"/>
        <v>41261</v>
      </c>
      <c r="H9" s="7">
        <f t="shared" si="0"/>
        <v>51250</v>
      </c>
      <c r="I9" s="7">
        <f t="shared" si="0"/>
        <v>60631</v>
      </c>
      <c r="J9" s="7">
        <f t="shared" si="0"/>
        <v>74961</v>
      </c>
      <c r="K9" s="7">
        <f t="shared" si="0"/>
        <v>93780</v>
      </c>
      <c r="L9" s="7">
        <f t="shared" si="0"/>
        <v>132836</v>
      </c>
    </row>
    <row r="10" spans="1:12" x14ac:dyDescent="0.25">
      <c r="A10" s="8" t="s">
        <v>316</v>
      </c>
      <c r="B10" s="14">
        <v>32337</v>
      </c>
      <c r="C10" s="14">
        <v>38156</v>
      </c>
      <c r="D10" s="14">
        <v>47913</v>
      </c>
      <c r="E10" s="14">
        <v>58683</v>
      </c>
      <c r="F10" s="14">
        <v>71807</v>
      </c>
      <c r="G10" s="14">
        <v>87348</v>
      </c>
      <c r="H10" s="14">
        <v>111066</v>
      </c>
      <c r="I10" s="14">
        <v>134058</v>
      </c>
      <c r="J10" s="14">
        <v>163892</v>
      </c>
      <c r="K10" s="14">
        <v>212012</v>
      </c>
      <c r="L10" s="14">
        <v>298619</v>
      </c>
    </row>
    <row r="11" spans="1:12" x14ac:dyDescent="0.25">
      <c r="A11" s="12" t="s">
        <v>317</v>
      </c>
      <c r="B11" s="5">
        <v>-17606</v>
      </c>
      <c r="C11" s="5">
        <v>-19800</v>
      </c>
      <c r="D11" s="5">
        <v>-24179</v>
      </c>
      <c r="E11" s="5">
        <v>-29223</v>
      </c>
      <c r="F11" s="5">
        <v>-35330</v>
      </c>
      <c r="G11" s="5">
        <v>-43197</v>
      </c>
      <c r="H11" s="5">
        <v>-51351</v>
      </c>
      <c r="I11" s="5">
        <v>-59660</v>
      </c>
      <c r="J11" s="5">
        <v>-68251</v>
      </c>
      <c r="K11" s="5">
        <v>-76421</v>
      </c>
      <c r="L11" s="5">
        <v>-93653</v>
      </c>
    </row>
    <row r="12" spans="1:12" x14ac:dyDescent="0.25">
      <c r="A12" s="8" t="s">
        <v>318</v>
      </c>
      <c r="B12" s="9">
        <f t="shared" ref="B12:L12" si="1">B10+B11</f>
        <v>14731</v>
      </c>
      <c r="C12" s="9">
        <f t="shared" si="1"/>
        <v>18356</v>
      </c>
      <c r="D12" s="9">
        <f t="shared" si="1"/>
        <v>23734</v>
      </c>
      <c r="E12" s="9">
        <f t="shared" si="1"/>
        <v>29460</v>
      </c>
      <c r="F12" s="9">
        <f t="shared" si="1"/>
        <v>36477</v>
      </c>
      <c r="G12" s="9">
        <f t="shared" si="1"/>
        <v>44151</v>
      </c>
      <c r="H12" s="9">
        <f t="shared" si="1"/>
        <v>59715</v>
      </c>
      <c r="I12" s="9">
        <f t="shared" si="1"/>
        <v>74398</v>
      </c>
      <c r="J12" s="9">
        <f t="shared" si="1"/>
        <v>95641</v>
      </c>
      <c r="K12" s="9">
        <f t="shared" si="1"/>
        <v>135591</v>
      </c>
      <c r="L12" s="9">
        <f t="shared" si="1"/>
        <v>204966</v>
      </c>
    </row>
    <row r="13" spans="1:12" x14ac:dyDescent="0.25">
      <c r="A13" s="8" t="s">
        <v>319</v>
      </c>
      <c r="B13" s="14">
        <v>14731</v>
      </c>
      <c r="C13" s="14">
        <v>18356</v>
      </c>
      <c r="D13" s="14">
        <v>23734</v>
      </c>
      <c r="E13" s="14">
        <v>29460</v>
      </c>
      <c r="F13" s="14">
        <v>36477</v>
      </c>
      <c r="G13" s="14">
        <v>44151</v>
      </c>
      <c r="H13" s="14">
        <v>59715</v>
      </c>
      <c r="I13" s="14">
        <v>74398</v>
      </c>
      <c r="J13" s="14">
        <v>95641</v>
      </c>
      <c r="K13" s="14">
        <v>135591</v>
      </c>
      <c r="L13" s="14">
        <v>204966</v>
      </c>
    </row>
    <row r="15" spans="1:12" x14ac:dyDescent="0.25">
      <c r="A15" s="19" t="s">
        <v>320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5">
      <c r="A16" s="4" t="s">
        <v>321</v>
      </c>
      <c r="B16" s="7">
        <f t="shared" ref="B16:L16" si="2">B9</f>
        <v>13612</v>
      </c>
      <c r="C16" s="7">
        <f t="shared" si="2"/>
        <v>17391</v>
      </c>
      <c r="D16" s="7">
        <f t="shared" si="2"/>
        <v>21414</v>
      </c>
      <c r="E16" s="7">
        <f t="shared" si="2"/>
        <v>27633</v>
      </c>
      <c r="F16" s="7">
        <f t="shared" si="2"/>
        <v>33823</v>
      </c>
      <c r="G16" s="7">
        <f t="shared" si="2"/>
        <v>41261</v>
      </c>
      <c r="H16" s="7">
        <f t="shared" si="2"/>
        <v>51250</v>
      </c>
      <c r="I16" s="7">
        <f t="shared" si="2"/>
        <v>60631</v>
      </c>
      <c r="J16" s="7">
        <f t="shared" si="2"/>
        <v>74961</v>
      </c>
      <c r="K16" s="7">
        <f t="shared" si="2"/>
        <v>93780</v>
      </c>
      <c r="L16" s="7">
        <f t="shared" si="2"/>
        <v>132836</v>
      </c>
    </row>
    <row r="17" spans="1:12" x14ac:dyDescent="0.25">
      <c r="A17" s="4" t="s">
        <v>322</v>
      </c>
      <c r="B17" s="7">
        <f t="shared" ref="B17:L17" si="3">B5+B6+B7</f>
        <v>15146</v>
      </c>
      <c r="C17" s="7">
        <f t="shared" si="3"/>
        <v>16876</v>
      </c>
      <c r="D17" s="7">
        <f t="shared" si="3"/>
        <v>22455</v>
      </c>
      <c r="E17" s="7">
        <f t="shared" si="3"/>
        <v>26593</v>
      </c>
      <c r="F17" s="7">
        <f t="shared" si="3"/>
        <v>33144</v>
      </c>
      <c r="G17" s="7">
        <f t="shared" si="3"/>
        <v>41305</v>
      </c>
      <c r="H17" s="7">
        <f t="shared" si="3"/>
        <v>54472</v>
      </c>
      <c r="I17" s="7">
        <f t="shared" si="3"/>
        <v>67567</v>
      </c>
      <c r="J17" s="7">
        <f t="shared" si="3"/>
        <v>82685</v>
      </c>
      <c r="K17" s="7">
        <f t="shared" si="3"/>
        <v>111700</v>
      </c>
      <c r="L17" s="7">
        <f t="shared" si="3"/>
        <v>159376</v>
      </c>
    </row>
    <row r="18" spans="1:12" x14ac:dyDescent="0.25">
      <c r="A18" s="4" t="s">
        <v>323</v>
      </c>
      <c r="B18" s="7">
        <f t="shared" ref="B18:L18" si="4">B8</f>
        <v>3579</v>
      </c>
      <c r="C18" s="7">
        <f t="shared" si="4"/>
        <v>3889</v>
      </c>
      <c r="D18" s="7">
        <f t="shared" si="4"/>
        <v>4044</v>
      </c>
      <c r="E18" s="7">
        <f t="shared" si="4"/>
        <v>4457</v>
      </c>
      <c r="F18" s="7">
        <f t="shared" si="4"/>
        <v>4840</v>
      </c>
      <c r="G18" s="7">
        <f t="shared" si="4"/>
        <v>4782</v>
      </c>
      <c r="H18" s="7">
        <f t="shared" si="4"/>
        <v>5344</v>
      </c>
      <c r="I18" s="7">
        <f t="shared" si="4"/>
        <v>5860</v>
      </c>
      <c r="J18" s="7">
        <f t="shared" si="4"/>
        <v>6246</v>
      </c>
      <c r="K18" s="7">
        <f t="shared" si="4"/>
        <v>6532</v>
      </c>
      <c r="L18" s="7">
        <f t="shared" si="4"/>
        <v>6407</v>
      </c>
    </row>
    <row r="19" spans="1:12" x14ac:dyDescent="0.25">
      <c r="A19" s="12" t="s">
        <v>324</v>
      </c>
      <c r="B19" s="6">
        <f t="shared" ref="B19:L19" si="5">IF(OR(B10="",B10=0),"-",B16/B10)</f>
        <v>0.42094195503602683</v>
      </c>
      <c r="C19" s="6">
        <f t="shared" si="5"/>
        <v>0.45578677010168783</v>
      </c>
      <c r="D19" s="6">
        <f t="shared" si="5"/>
        <v>0.44693506981403797</v>
      </c>
      <c r="E19" s="6">
        <f t="shared" si="5"/>
        <v>0.47088594652625121</v>
      </c>
      <c r="F19" s="6">
        <f t="shared" si="5"/>
        <v>0.47102650159455206</v>
      </c>
      <c r="G19" s="6">
        <f t="shared" si="5"/>
        <v>0.47237486834272108</v>
      </c>
      <c r="H19" s="6">
        <f t="shared" si="5"/>
        <v>0.46143734356148597</v>
      </c>
      <c r="I19" s="6">
        <f t="shared" si="5"/>
        <v>0.45227438869742947</v>
      </c>
      <c r="J19" s="6">
        <f t="shared" si="5"/>
        <v>0.45738047006565297</v>
      </c>
      <c r="K19" s="6">
        <f t="shared" si="5"/>
        <v>0.44233345282342507</v>
      </c>
      <c r="L19" s="6">
        <f t="shared" si="5"/>
        <v>0.44483438763106165</v>
      </c>
    </row>
    <row r="20" spans="1:12" x14ac:dyDescent="0.25">
      <c r="A20" s="12" t="s">
        <v>325</v>
      </c>
      <c r="B20" s="6">
        <f t="shared" ref="B20:L20" si="6">IF(OR(B10="",B10=0),"-",B17/B10)</f>
        <v>0.46837987444722762</v>
      </c>
      <c r="C20" s="6">
        <f t="shared" si="6"/>
        <v>0.44228954817066779</v>
      </c>
      <c r="D20" s="6">
        <f t="shared" si="6"/>
        <v>0.46866194978398346</v>
      </c>
      <c r="E20" s="6">
        <f t="shared" si="6"/>
        <v>0.45316360785917559</v>
      </c>
      <c r="F20" s="6">
        <f t="shared" si="6"/>
        <v>0.46157059896667457</v>
      </c>
      <c r="G20" s="6">
        <f t="shared" si="6"/>
        <v>0.47287860054036729</v>
      </c>
      <c r="H20" s="6">
        <f t="shared" si="6"/>
        <v>0.49044712153134173</v>
      </c>
      <c r="I20" s="6">
        <f t="shared" si="6"/>
        <v>0.50401318832147279</v>
      </c>
      <c r="J20" s="6">
        <f t="shared" si="6"/>
        <v>0.50450906694652575</v>
      </c>
      <c r="K20" s="6">
        <f t="shared" si="6"/>
        <v>0.52685697036016832</v>
      </c>
      <c r="L20" s="6">
        <f t="shared" si="6"/>
        <v>0.53371017919154506</v>
      </c>
    </row>
    <row r="21" spans="1:12" x14ac:dyDescent="0.25">
      <c r="A21" s="12" t="s">
        <v>326</v>
      </c>
      <c r="B21" s="6">
        <f t="shared" ref="B21:L21" si="7">IF(OR(B10="",B10=0),"-",B18/B10)</f>
        <v>0.11067817051674553</v>
      </c>
      <c r="C21" s="6">
        <f t="shared" si="7"/>
        <v>0.10192368172764441</v>
      </c>
      <c r="D21" s="6">
        <f t="shared" si="7"/>
        <v>8.4402980401978592E-2</v>
      </c>
      <c r="E21" s="6">
        <f t="shared" si="7"/>
        <v>7.5950445614573217E-2</v>
      </c>
      <c r="F21" s="6">
        <f t="shared" si="7"/>
        <v>6.7402899438773381E-2</v>
      </c>
      <c r="G21" s="6">
        <f t="shared" si="7"/>
        <v>5.4746531116911662E-2</v>
      </c>
      <c r="H21" s="6">
        <f t="shared" si="7"/>
        <v>4.8115534907172311E-2</v>
      </c>
      <c r="I21" s="6">
        <f t="shared" si="7"/>
        <v>4.3712422981097732E-2</v>
      </c>
      <c r="J21" s="6">
        <f t="shared" si="7"/>
        <v>3.8110462987821246E-2</v>
      </c>
      <c r="K21" s="6">
        <f t="shared" si="7"/>
        <v>3.0809576816406618E-2</v>
      </c>
      <c r="L21" s="6">
        <f t="shared" si="7"/>
        <v>2.1455433177393266E-2</v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"/>
  <sheetViews>
    <sheetView workbookViewId="0"/>
  </sheetViews>
  <sheetFormatPr defaultRowHeight="15" x14ac:dyDescent="0.25"/>
  <cols>
    <col min="1" max="1" width="34" customWidth="1"/>
    <col min="2" max="12" width="12" customWidth="1"/>
  </cols>
  <sheetData>
    <row r="1" spans="1:12" ht="21.95" customHeight="1" x14ac:dyDescent="0.25">
      <c r="A1" s="16" t="s">
        <v>327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7" t="s">
        <v>328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25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</row>
    <row r="5" spans="1:12" x14ac:dyDescent="0.25">
      <c r="A5" s="12" t="s">
        <v>311</v>
      </c>
      <c r="B5" s="5">
        <v>589</v>
      </c>
      <c r="C5" s="5">
        <v>744</v>
      </c>
      <c r="D5" s="5">
        <v>830</v>
      </c>
      <c r="E5" s="5">
        <v>868</v>
      </c>
      <c r="F5" s="5">
        <v>896</v>
      </c>
      <c r="G5" s="5">
        <v>885</v>
      </c>
      <c r="H5" s="5">
        <v>871</v>
      </c>
      <c r="I5" s="5">
        <v>1166</v>
      </c>
      <c r="J5" s="5">
        <v>1243</v>
      </c>
      <c r="K5" s="5">
        <v>1239</v>
      </c>
      <c r="L5" s="5">
        <v>1352</v>
      </c>
    </row>
    <row r="6" spans="1:12" x14ac:dyDescent="0.25">
      <c r="A6" s="12" t="s">
        <v>312</v>
      </c>
      <c r="B6" s="5">
        <v>2721</v>
      </c>
      <c r="C6" s="5">
        <v>2754</v>
      </c>
      <c r="D6" s="5">
        <v>3466</v>
      </c>
      <c r="E6" s="5">
        <v>3893</v>
      </c>
      <c r="F6" s="5">
        <v>4253</v>
      </c>
      <c r="G6" s="5">
        <v>4394</v>
      </c>
      <c r="H6" s="5">
        <v>4734</v>
      </c>
      <c r="I6" s="5">
        <v>4729</v>
      </c>
      <c r="J6" s="5">
        <v>5880</v>
      </c>
      <c r="K6" s="5">
        <v>6493</v>
      </c>
      <c r="L6" s="5">
        <v>10881</v>
      </c>
    </row>
    <row r="7" spans="1:12" x14ac:dyDescent="0.25">
      <c r="A7" s="12" t="s">
        <v>329</v>
      </c>
      <c r="B7" s="5">
        <v>3345</v>
      </c>
      <c r="C7" s="5">
        <v>3927</v>
      </c>
      <c r="D7" s="5">
        <v>5112</v>
      </c>
      <c r="E7" s="5">
        <v>6156</v>
      </c>
      <c r="F7" s="5">
        <v>7214</v>
      </c>
      <c r="G7" s="5">
        <v>7757</v>
      </c>
      <c r="H7" s="5">
        <v>9508</v>
      </c>
      <c r="I7" s="5">
        <v>12844</v>
      </c>
      <c r="J7" s="5">
        <v>17258</v>
      </c>
      <c r="K7" s="5">
        <v>20989</v>
      </c>
      <c r="L7" s="5">
        <v>30345</v>
      </c>
    </row>
    <row r="8" spans="1:12" x14ac:dyDescent="0.25">
      <c r="A8" s="12" t="s">
        <v>330</v>
      </c>
      <c r="B8" s="5">
        <v>93</v>
      </c>
      <c r="C8" s="5">
        <v>97</v>
      </c>
      <c r="D8" s="5">
        <v>235</v>
      </c>
      <c r="E8" s="5">
        <v>229</v>
      </c>
      <c r="F8" s="5">
        <v>158</v>
      </c>
      <c r="G8" s="5">
        <v>280</v>
      </c>
      <c r="H8" s="5">
        <v>233</v>
      </c>
      <c r="I8" s="5">
        <v>512</v>
      </c>
      <c r="J8" s="5">
        <v>3846</v>
      </c>
      <c r="K8" s="5">
        <v>5634</v>
      </c>
      <c r="L8" s="5">
        <v>16510</v>
      </c>
    </row>
    <row r="9" spans="1:12" x14ac:dyDescent="0.25">
      <c r="A9" s="12" t="s">
        <v>331</v>
      </c>
      <c r="B9" s="5">
        <v>547</v>
      </c>
      <c r="C9" s="5">
        <v>574</v>
      </c>
      <c r="D9" s="5">
        <v>651</v>
      </c>
      <c r="E9" s="5">
        <v>662</v>
      </c>
      <c r="F9" s="5">
        <v>554</v>
      </c>
      <c r="G9" s="5">
        <v>509</v>
      </c>
      <c r="H9" s="5">
        <v>454</v>
      </c>
      <c r="I9" s="5">
        <v>423</v>
      </c>
      <c r="J9" s="5">
        <v>447</v>
      </c>
      <c r="K9" s="5">
        <v>463</v>
      </c>
      <c r="L9" s="5">
        <v>466</v>
      </c>
    </row>
    <row r="10" spans="1:12" x14ac:dyDescent="0.25">
      <c r="A10" s="8" t="s">
        <v>316</v>
      </c>
      <c r="B10" s="14">
        <v>7295</v>
      </c>
      <c r="C10" s="14">
        <v>8096</v>
      </c>
      <c r="D10" s="14">
        <v>10294</v>
      </c>
      <c r="E10" s="14">
        <v>11808</v>
      </c>
      <c r="F10" s="14">
        <v>13075</v>
      </c>
      <c r="G10" s="14">
        <v>13825</v>
      </c>
      <c r="H10" s="14">
        <v>15800</v>
      </c>
      <c r="I10" s="14">
        <v>19674</v>
      </c>
      <c r="J10" s="14">
        <v>28674</v>
      </c>
      <c r="K10" s="14">
        <v>34818</v>
      </c>
      <c r="L10" s="14">
        <v>59554</v>
      </c>
    </row>
    <row r="11" spans="1:12" x14ac:dyDescent="0.25">
      <c r="A11" s="12" t="s">
        <v>317</v>
      </c>
      <c r="B11" s="5">
        <v>-3609</v>
      </c>
      <c r="C11" s="5">
        <v>-4096</v>
      </c>
      <c r="D11" s="5">
        <v>-4979</v>
      </c>
      <c r="E11" s="5">
        <v>-5911</v>
      </c>
      <c r="F11" s="5">
        <v>-6823</v>
      </c>
      <c r="G11" s="5">
        <v>-7581</v>
      </c>
      <c r="H11" s="5">
        <v>-8751</v>
      </c>
      <c r="I11" s="5">
        <v>-9958</v>
      </c>
      <c r="J11" s="5">
        <v>-11605</v>
      </c>
      <c r="K11" s="5">
        <v>-13282</v>
      </c>
      <c r="L11" s="5">
        <v>-16032</v>
      </c>
    </row>
    <row r="12" spans="1:12" x14ac:dyDescent="0.25">
      <c r="A12" s="8" t="s">
        <v>318</v>
      </c>
      <c r="B12" s="9">
        <f t="shared" ref="B12:L12" si="0">B10+B11</f>
        <v>3686</v>
      </c>
      <c r="C12" s="9">
        <f t="shared" si="0"/>
        <v>4000</v>
      </c>
      <c r="D12" s="9">
        <f t="shared" si="0"/>
        <v>5315</v>
      </c>
      <c r="E12" s="9">
        <f t="shared" si="0"/>
        <v>5897</v>
      </c>
      <c r="F12" s="9">
        <f t="shared" si="0"/>
        <v>6252</v>
      </c>
      <c r="G12" s="9">
        <f t="shared" si="0"/>
        <v>6244</v>
      </c>
      <c r="H12" s="9">
        <f t="shared" si="0"/>
        <v>7049</v>
      </c>
      <c r="I12" s="9">
        <f t="shared" si="0"/>
        <v>9716</v>
      </c>
      <c r="J12" s="9">
        <f t="shared" si="0"/>
        <v>17069</v>
      </c>
      <c r="K12" s="9">
        <f t="shared" si="0"/>
        <v>21536</v>
      </c>
      <c r="L12" s="9">
        <f t="shared" si="0"/>
        <v>43522</v>
      </c>
    </row>
    <row r="13" spans="1:12" x14ac:dyDescent="0.25">
      <c r="A13" s="8" t="s">
        <v>319</v>
      </c>
      <c r="B13" s="14">
        <v>3686</v>
      </c>
      <c r="C13" s="14">
        <v>4000</v>
      </c>
      <c r="D13" s="14">
        <v>5315</v>
      </c>
      <c r="E13" s="14">
        <v>5897</v>
      </c>
      <c r="F13" s="14">
        <v>6252</v>
      </c>
      <c r="G13" s="14">
        <v>6244</v>
      </c>
      <c r="H13" s="14">
        <v>7049</v>
      </c>
      <c r="I13" s="14">
        <v>9716</v>
      </c>
      <c r="J13" s="14">
        <v>17069</v>
      </c>
      <c r="K13" s="14">
        <v>21536</v>
      </c>
      <c r="L13" s="14">
        <v>43522</v>
      </c>
    </row>
    <row r="15" spans="1:12" x14ac:dyDescent="0.25">
      <c r="A15" s="19" t="s">
        <v>320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5">
      <c r="A16" s="4" t="s">
        <v>332</v>
      </c>
      <c r="B16" s="7">
        <f t="shared" ref="B16:L16" si="1">B7</f>
        <v>3345</v>
      </c>
      <c r="C16" s="7">
        <f t="shared" si="1"/>
        <v>3927</v>
      </c>
      <c r="D16" s="7">
        <f t="shared" si="1"/>
        <v>5112</v>
      </c>
      <c r="E16" s="7">
        <f t="shared" si="1"/>
        <v>6156</v>
      </c>
      <c r="F16" s="7">
        <f t="shared" si="1"/>
        <v>7214</v>
      </c>
      <c r="G16" s="7">
        <f t="shared" si="1"/>
        <v>7757</v>
      </c>
      <c r="H16" s="7">
        <f t="shared" si="1"/>
        <v>9508</v>
      </c>
      <c r="I16" s="7">
        <f t="shared" si="1"/>
        <v>12844</v>
      </c>
      <c r="J16" s="7">
        <f t="shared" si="1"/>
        <v>17258</v>
      </c>
      <c r="K16" s="7">
        <f t="shared" si="1"/>
        <v>20989</v>
      </c>
      <c r="L16" s="7">
        <f t="shared" si="1"/>
        <v>30345</v>
      </c>
    </row>
    <row r="17" spans="1:12" x14ac:dyDescent="0.25">
      <c r="A17" s="4" t="s">
        <v>333</v>
      </c>
      <c r="B17" s="7">
        <f t="shared" ref="B17:L17" si="2">B5+B6</f>
        <v>3310</v>
      </c>
      <c r="C17" s="7">
        <f t="shared" si="2"/>
        <v>3498</v>
      </c>
      <c r="D17" s="7">
        <f t="shared" si="2"/>
        <v>4296</v>
      </c>
      <c r="E17" s="7">
        <f t="shared" si="2"/>
        <v>4761</v>
      </c>
      <c r="F17" s="7">
        <f t="shared" si="2"/>
        <v>5149</v>
      </c>
      <c r="G17" s="7">
        <f t="shared" si="2"/>
        <v>5279</v>
      </c>
      <c r="H17" s="7">
        <f t="shared" si="2"/>
        <v>5605</v>
      </c>
      <c r="I17" s="7">
        <f t="shared" si="2"/>
        <v>5895</v>
      </c>
      <c r="J17" s="7">
        <f t="shared" si="2"/>
        <v>7123</v>
      </c>
      <c r="K17" s="7">
        <f t="shared" si="2"/>
        <v>7732</v>
      </c>
      <c r="L17" s="7">
        <f t="shared" si="2"/>
        <v>12233</v>
      </c>
    </row>
    <row r="18" spans="1:12" x14ac:dyDescent="0.25">
      <c r="A18" s="4" t="s">
        <v>330</v>
      </c>
      <c r="B18" s="7">
        <f t="shared" ref="B18:L18" si="3">B8</f>
        <v>93</v>
      </c>
      <c r="C18" s="7">
        <f t="shared" si="3"/>
        <v>97</v>
      </c>
      <c r="D18" s="7">
        <f t="shared" si="3"/>
        <v>235</v>
      </c>
      <c r="E18" s="7">
        <f t="shared" si="3"/>
        <v>229</v>
      </c>
      <c r="F18" s="7">
        <f t="shared" si="3"/>
        <v>158</v>
      </c>
      <c r="G18" s="7">
        <f t="shared" si="3"/>
        <v>280</v>
      </c>
      <c r="H18" s="7">
        <f t="shared" si="3"/>
        <v>233</v>
      </c>
      <c r="I18" s="7">
        <f t="shared" si="3"/>
        <v>512</v>
      </c>
      <c r="J18" s="7">
        <f t="shared" si="3"/>
        <v>3846</v>
      </c>
      <c r="K18" s="7">
        <f t="shared" si="3"/>
        <v>5634</v>
      </c>
      <c r="L18" s="7">
        <f t="shared" si="3"/>
        <v>16510</v>
      </c>
    </row>
    <row r="19" spans="1:12" x14ac:dyDescent="0.25">
      <c r="A19" s="4" t="s">
        <v>334</v>
      </c>
      <c r="B19" s="7">
        <f t="shared" ref="B19:L19" si="4">B9</f>
        <v>547</v>
      </c>
      <c r="C19" s="7">
        <f t="shared" si="4"/>
        <v>574</v>
      </c>
      <c r="D19" s="7">
        <f t="shared" si="4"/>
        <v>651</v>
      </c>
      <c r="E19" s="7">
        <f t="shared" si="4"/>
        <v>662</v>
      </c>
      <c r="F19" s="7">
        <f t="shared" si="4"/>
        <v>554</v>
      </c>
      <c r="G19" s="7">
        <f t="shared" si="4"/>
        <v>509</v>
      </c>
      <c r="H19" s="7">
        <f t="shared" si="4"/>
        <v>454</v>
      </c>
      <c r="I19" s="7">
        <f t="shared" si="4"/>
        <v>423</v>
      </c>
      <c r="J19" s="7">
        <f t="shared" si="4"/>
        <v>447</v>
      </c>
      <c r="K19" s="7">
        <f t="shared" si="4"/>
        <v>463</v>
      </c>
      <c r="L19" s="7">
        <f t="shared" si="4"/>
        <v>466</v>
      </c>
    </row>
    <row r="20" spans="1:12" x14ac:dyDescent="0.25">
      <c r="A20" s="12" t="s">
        <v>335</v>
      </c>
      <c r="B20" s="6">
        <f t="shared" ref="B20:L20" si="5">IF(OR(B10="",B10=0),"-",B16/B10)</f>
        <v>0.45853324194653872</v>
      </c>
      <c r="C20" s="6">
        <f t="shared" si="5"/>
        <v>0.48505434782608697</v>
      </c>
      <c r="D20" s="6">
        <f t="shared" si="5"/>
        <v>0.49659996114241306</v>
      </c>
      <c r="E20" s="6">
        <f t="shared" si="5"/>
        <v>0.52134146341463417</v>
      </c>
      <c r="F20" s="6">
        <f t="shared" si="5"/>
        <v>0.55173996175908224</v>
      </c>
      <c r="G20" s="6">
        <f t="shared" si="5"/>
        <v>0.56108499095840869</v>
      </c>
      <c r="H20" s="6">
        <f t="shared" si="5"/>
        <v>0.60177215189873423</v>
      </c>
      <c r="I20" s="6">
        <f t="shared" si="5"/>
        <v>0.65284131340855955</v>
      </c>
      <c r="J20" s="6">
        <f t="shared" si="5"/>
        <v>0.60186928925158678</v>
      </c>
      <c r="K20" s="6">
        <f t="shared" si="5"/>
        <v>0.60282038026308227</v>
      </c>
      <c r="L20" s="6">
        <f t="shared" si="5"/>
        <v>0.50953756254827554</v>
      </c>
    </row>
    <row r="21" spans="1:12" x14ac:dyDescent="0.25">
      <c r="A21" s="12" t="s">
        <v>336</v>
      </c>
      <c r="B21" s="6">
        <f t="shared" ref="B21:L21" si="6">IF(OR(B10="",B10=0),"-",B17/B10)</f>
        <v>0.4537354352296093</v>
      </c>
      <c r="C21" s="6">
        <f t="shared" si="6"/>
        <v>0.43206521739130432</v>
      </c>
      <c r="D21" s="6">
        <f t="shared" si="6"/>
        <v>0.41733048377695747</v>
      </c>
      <c r="E21" s="6">
        <f t="shared" si="6"/>
        <v>0.40320121951219512</v>
      </c>
      <c r="F21" s="6">
        <f t="shared" si="6"/>
        <v>0.39380497131931164</v>
      </c>
      <c r="G21" s="6">
        <f t="shared" si="6"/>
        <v>0.38184448462929477</v>
      </c>
      <c r="H21" s="6">
        <f t="shared" si="6"/>
        <v>0.35474683544303798</v>
      </c>
      <c r="I21" s="6">
        <f t="shared" si="6"/>
        <v>0.29963403476669714</v>
      </c>
      <c r="J21" s="6">
        <f t="shared" si="6"/>
        <v>0.2484131966241194</v>
      </c>
      <c r="K21" s="6">
        <f t="shared" si="6"/>
        <v>0.22206904474696995</v>
      </c>
      <c r="L21" s="6">
        <f t="shared" si="6"/>
        <v>0.205410215938476</v>
      </c>
    </row>
    <row r="22" spans="1:12" x14ac:dyDescent="0.25">
      <c r="A22" s="12" t="s">
        <v>337</v>
      </c>
      <c r="B22" s="6">
        <f t="shared" ref="B22:L22" si="7">IF(OR(B10="",B10=0),"-",B18/B10)</f>
        <v>1.2748457847840986E-2</v>
      </c>
      <c r="C22" s="6">
        <f t="shared" si="7"/>
        <v>1.1981225296442688E-2</v>
      </c>
      <c r="D22" s="6">
        <f t="shared" si="7"/>
        <v>2.2828832329512338E-2</v>
      </c>
      <c r="E22" s="6">
        <f t="shared" si="7"/>
        <v>1.9393631436314365E-2</v>
      </c>
      <c r="F22" s="6">
        <f t="shared" si="7"/>
        <v>1.2084130019120459E-2</v>
      </c>
      <c r="G22" s="6">
        <f t="shared" si="7"/>
        <v>2.0253164556962026E-2</v>
      </c>
      <c r="H22" s="6">
        <f t="shared" si="7"/>
        <v>1.4746835443037974E-2</v>
      </c>
      <c r="I22" s="6">
        <f t="shared" si="7"/>
        <v>2.6024194368201688E-2</v>
      </c>
      <c r="J22" s="6">
        <f t="shared" si="7"/>
        <v>0.13412847876124712</v>
      </c>
      <c r="K22" s="6">
        <f t="shared" si="7"/>
        <v>0.16181285541961055</v>
      </c>
      <c r="L22" s="6">
        <f t="shared" si="7"/>
        <v>0.27722739026765625</v>
      </c>
    </row>
    <row r="23" spans="1:12" x14ac:dyDescent="0.25">
      <c r="A23" s="12" t="s">
        <v>338</v>
      </c>
      <c r="B23" s="6">
        <f t="shared" ref="B23:L23" si="8">IF(OR(B10="",B10=0),"-",B19/B10)</f>
        <v>7.4982864976010963E-2</v>
      </c>
      <c r="C23" s="6">
        <f t="shared" si="8"/>
        <v>7.0899209486166001E-2</v>
      </c>
      <c r="D23" s="6">
        <f t="shared" si="8"/>
        <v>6.3240722751117154E-2</v>
      </c>
      <c r="E23" s="6">
        <f t="shared" si="8"/>
        <v>5.6063685636856368E-2</v>
      </c>
      <c r="F23" s="6">
        <f t="shared" si="8"/>
        <v>4.2370936902485661E-2</v>
      </c>
      <c r="G23" s="6">
        <f t="shared" si="8"/>
        <v>3.681735985533454E-2</v>
      </c>
      <c r="H23" s="6">
        <f t="shared" si="8"/>
        <v>2.8734177215189873E-2</v>
      </c>
      <c r="I23" s="6">
        <f t="shared" si="8"/>
        <v>2.1500457456541628E-2</v>
      </c>
      <c r="J23" s="6">
        <f t="shared" si="8"/>
        <v>1.5589035363046663E-2</v>
      </c>
      <c r="K23" s="6">
        <f t="shared" si="8"/>
        <v>1.3297719570337182E-2</v>
      </c>
      <c r="L23" s="6">
        <f t="shared" si="8"/>
        <v>7.8248312455922349E-3</v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workbookViewId="0"/>
  </sheetViews>
  <sheetFormatPr defaultRowHeight="15" x14ac:dyDescent="0.25"/>
  <cols>
    <col min="1" max="1" width="34" customWidth="1"/>
    <col min="2" max="6" width="12" customWidth="1"/>
  </cols>
  <sheetData>
    <row r="1" spans="1:6" ht="21.95" customHeight="1" x14ac:dyDescent="0.25">
      <c r="A1" s="16" t="s">
        <v>339</v>
      </c>
      <c r="B1" s="18"/>
      <c r="C1" s="18"/>
      <c r="D1" s="18"/>
      <c r="E1" s="18"/>
      <c r="F1" s="18"/>
    </row>
    <row r="2" spans="1:6" x14ac:dyDescent="0.25">
      <c r="A2" s="17" t="s">
        <v>340</v>
      </c>
      <c r="B2" s="18"/>
      <c r="C2" s="18"/>
      <c r="D2" s="18"/>
      <c r="E2" s="18"/>
      <c r="F2" s="18"/>
    </row>
    <row r="4" spans="1:6" x14ac:dyDescent="0.25">
      <c r="A4" s="3" t="s">
        <v>299</v>
      </c>
      <c r="B4" s="3" t="s">
        <v>306</v>
      </c>
      <c r="C4" s="3" t="s">
        <v>307</v>
      </c>
      <c r="D4" s="3" t="s">
        <v>308</v>
      </c>
      <c r="E4" s="3" t="s">
        <v>309</v>
      </c>
      <c r="F4" s="3" t="s">
        <v>310</v>
      </c>
    </row>
    <row r="5" spans="1:6" x14ac:dyDescent="0.25">
      <c r="A5" s="12" t="s">
        <v>341</v>
      </c>
      <c r="B5" s="5">
        <v>81104</v>
      </c>
      <c r="C5" s="5">
        <v>91650</v>
      </c>
      <c r="D5" s="5">
        <v>105293</v>
      </c>
      <c r="E5" s="5">
        <v>123039</v>
      </c>
      <c r="F5" s="5">
        <v>155121</v>
      </c>
    </row>
    <row r="6" spans="1:6" x14ac:dyDescent="0.25">
      <c r="A6" s="12" t="s">
        <v>342</v>
      </c>
      <c r="B6" s="5">
        <v>128683</v>
      </c>
      <c r="C6" s="5">
        <v>157458</v>
      </c>
      <c r="D6" s="5">
        <v>185039</v>
      </c>
      <c r="E6" s="5">
        <v>218893</v>
      </c>
      <c r="F6" s="5">
        <v>301413</v>
      </c>
    </row>
    <row r="7" spans="1:6" x14ac:dyDescent="0.25">
      <c r="A7" s="12" t="s">
        <v>343</v>
      </c>
      <c r="B7" s="5"/>
      <c r="C7" s="5"/>
      <c r="D7" s="5"/>
      <c r="E7" s="5">
        <v>113156</v>
      </c>
      <c r="F7" s="5">
        <v>172492</v>
      </c>
    </row>
    <row r="8" spans="1:6" x14ac:dyDescent="0.25">
      <c r="A8" s="12" t="s">
        <v>344</v>
      </c>
      <c r="B8" s="5"/>
      <c r="C8" s="5"/>
      <c r="D8" s="5"/>
      <c r="E8" s="5">
        <v>52228</v>
      </c>
      <c r="F8" s="5">
        <v>65545</v>
      </c>
    </row>
    <row r="9" spans="1:6" x14ac:dyDescent="0.25">
      <c r="A9" s="12" t="s">
        <v>345</v>
      </c>
      <c r="B9" s="5"/>
      <c r="C9" s="5"/>
      <c r="D9" s="5"/>
      <c r="E9" s="5">
        <v>53509</v>
      </c>
      <c r="F9" s="5">
        <v>63376</v>
      </c>
    </row>
    <row r="10" spans="1:6" x14ac:dyDescent="0.25">
      <c r="A10" s="12" t="s">
        <v>346</v>
      </c>
      <c r="B10" s="5">
        <v>4118</v>
      </c>
      <c r="C10" s="5">
        <v>4602</v>
      </c>
      <c r="D10" s="5">
        <v>5116</v>
      </c>
      <c r="E10" s="5">
        <v>5487</v>
      </c>
      <c r="F10" s="5">
        <v>5819</v>
      </c>
    </row>
    <row r="11" spans="1:6" x14ac:dyDescent="0.25">
      <c r="A11" s="12" t="s">
        <v>330</v>
      </c>
      <c r="B11" s="5">
        <v>24895</v>
      </c>
      <c r="C11" s="5">
        <v>30020</v>
      </c>
      <c r="D11" s="5">
        <v>28840</v>
      </c>
      <c r="E11" s="5">
        <v>46636</v>
      </c>
      <c r="F11" s="5">
        <v>71745</v>
      </c>
    </row>
    <row r="12" spans="1:6" x14ac:dyDescent="0.25">
      <c r="A12" s="8" t="s">
        <v>316</v>
      </c>
      <c r="B12" s="14">
        <v>238800</v>
      </c>
      <c r="C12" s="14">
        <v>283730</v>
      </c>
      <c r="D12" s="14">
        <v>324288</v>
      </c>
      <c r="E12" s="14">
        <v>394055</v>
      </c>
      <c r="F12" s="14">
        <v>534098</v>
      </c>
    </row>
    <row r="13" spans="1:6" x14ac:dyDescent="0.25">
      <c r="A13" s="12" t="s">
        <v>347</v>
      </c>
      <c r="B13" s="5">
        <v>-78519</v>
      </c>
      <c r="C13" s="5">
        <v>-97015</v>
      </c>
      <c r="D13" s="5">
        <v>-120111</v>
      </c>
      <c r="E13" s="5">
        <v>-141390</v>
      </c>
      <c r="F13" s="5">
        <v>-177073</v>
      </c>
    </row>
    <row r="14" spans="1:6" x14ac:dyDescent="0.25">
      <c r="A14" s="8" t="s">
        <v>318</v>
      </c>
      <c r="B14" s="9">
        <f>B12+B13</f>
        <v>160281</v>
      </c>
      <c r="C14" s="9">
        <f>C12+C13</f>
        <v>186715</v>
      </c>
      <c r="D14" s="9">
        <f>D12+D13</f>
        <v>204177</v>
      </c>
      <c r="E14" s="9">
        <f>E12+E13</f>
        <v>252665</v>
      </c>
      <c r="F14" s="9">
        <f>F12+F13</f>
        <v>357025</v>
      </c>
    </row>
    <row r="15" spans="1:6" x14ac:dyDescent="0.25">
      <c r="A15" s="8" t="s">
        <v>319</v>
      </c>
      <c r="B15" s="14">
        <v>160281</v>
      </c>
      <c r="C15" s="14">
        <v>186715</v>
      </c>
      <c r="D15" s="14">
        <v>204177</v>
      </c>
      <c r="E15" s="14">
        <v>252665</v>
      </c>
      <c r="F15" s="14">
        <v>357025</v>
      </c>
    </row>
    <row r="17" spans="1:6" x14ac:dyDescent="0.25">
      <c r="A17" s="19" t="s">
        <v>320</v>
      </c>
      <c r="B17" s="18"/>
      <c r="C17" s="18"/>
      <c r="D17" s="18"/>
      <c r="E17" s="18"/>
      <c r="F17" s="18"/>
    </row>
    <row r="18" spans="1:6" x14ac:dyDescent="0.25">
      <c r="A18" s="4" t="s">
        <v>348</v>
      </c>
      <c r="B18" s="7">
        <f>B6</f>
        <v>128683</v>
      </c>
      <c r="C18" s="7">
        <f>C6</f>
        <v>157458</v>
      </c>
      <c r="D18" s="7">
        <f>D6</f>
        <v>185039</v>
      </c>
      <c r="E18" s="7">
        <f>E6</f>
        <v>218893</v>
      </c>
      <c r="F18" s="7">
        <f>F6</f>
        <v>301413</v>
      </c>
    </row>
    <row r="19" spans="1:6" x14ac:dyDescent="0.25">
      <c r="A19" s="4" t="s">
        <v>349</v>
      </c>
      <c r="B19" s="7">
        <f>B5</f>
        <v>81104</v>
      </c>
      <c r="C19" s="7">
        <f>C5</f>
        <v>91650</v>
      </c>
      <c r="D19" s="7">
        <f>D5</f>
        <v>105293</v>
      </c>
      <c r="E19" s="7">
        <f>E5</f>
        <v>123039</v>
      </c>
      <c r="F19" s="7">
        <f>F5</f>
        <v>155121</v>
      </c>
    </row>
    <row r="20" spans="1:6" x14ac:dyDescent="0.25">
      <c r="A20" s="4" t="s">
        <v>330</v>
      </c>
      <c r="B20" s="7">
        <f>B11</f>
        <v>24895</v>
      </c>
      <c r="C20" s="7">
        <f>C11</f>
        <v>30020</v>
      </c>
      <c r="D20" s="7">
        <f>D11</f>
        <v>28840</v>
      </c>
      <c r="E20" s="7">
        <f>E11</f>
        <v>46636</v>
      </c>
      <c r="F20" s="7">
        <f>F11</f>
        <v>71745</v>
      </c>
    </row>
    <row r="21" spans="1:6" x14ac:dyDescent="0.25">
      <c r="A21" s="4" t="s">
        <v>346</v>
      </c>
      <c r="B21" s="7">
        <f>B10</f>
        <v>4118</v>
      </c>
      <c r="C21" s="7">
        <f>C10</f>
        <v>4602</v>
      </c>
      <c r="D21" s="7">
        <f>D10</f>
        <v>5116</v>
      </c>
      <c r="E21" s="7">
        <f>E10</f>
        <v>5487</v>
      </c>
      <c r="F21" s="7">
        <f>F10</f>
        <v>5819</v>
      </c>
    </row>
    <row r="22" spans="1:6" x14ac:dyDescent="0.25">
      <c r="A22" s="12" t="s">
        <v>350</v>
      </c>
      <c r="B22" s="6">
        <f>IF(OR(B12="",B12=0),"-",B18/B12)</f>
        <v>0.5388735343383585</v>
      </c>
      <c r="C22" s="6">
        <f>IF(OR(C12="",C12=0),"-",C18/C12)</f>
        <v>0.554957177598421</v>
      </c>
      <c r="D22" s="6">
        <f>IF(OR(D12="",D12=0),"-",D18/D12)</f>
        <v>0.57060082395895007</v>
      </c>
      <c r="E22" s="6">
        <f>IF(OR(E12="",E12=0),"-",E18/E12)</f>
        <v>0.55548844704419431</v>
      </c>
      <c r="F22" s="6">
        <f>IF(OR(F12="",F12=0),"-",F18/F12)</f>
        <v>0.56434025216346062</v>
      </c>
    </row>
    <row r="23" spans="1:6" x14ac:dyDescent="0.25">
      <c r="A23" s="12" t="s">
        <v>351</v>
      </c>
      <c r="B23" s="6">
        <f>IF(OR(B12="",B12=0),"-",B19/B12)</f>
        <v>0.33963149078726967</v>
      </c>
      <c r="C23" s="6">
        <f>IF(OR(C12="",C12=0),"-",C19/C12)</f>
        <v>0.32301836252775529</v>
      </c>
      <c r="D23" s="6">
        <f>IF(OR(D12="",D12=0),"-",D19/D12)</f>
        <v>0.32468978192224196</v>
      </c>
      <c r="E23" s="6">
        <f>IF(OR(E12="",E12=0),"-",E19/E12)</f>
        <v>0.3122381393460304</v>
      </c>
      <c r="F23" s="6">
        <f>IF(OR(F12="",F12=0),"-",F19/F12)</f>
        <v>0.29043546315470192</v>
      </c>
    </row>
    <row r="24" spans="1:6" x14ac:dyDescent="0.25">
      <c r="A24" s="12" t="s">
        <v>337</v>
      </c>
      <c r="B24" s="6">
        <f>IF(OR(B12="",B12=0),"-",B20/B12)</f>
        <v>0.10425041876046902</v>
      </c>
      <c r="C24" s="6">
        <f>IF(OR(C12="",C12=0),"-",C20/C12)</f>
        <v>0.10580481443625983</v>
      </c>
      <c r="D24" s="6">
        <f>IF(OR(D12="",D12=0),"-",D20/D12)</f>
        <v>8.893329386224591E-2</v>
      </c>
      <c r="E24" s="6">
        <f>IF(OR(E12="",E12=0),"-",E20/E12)</f>
        <v>0.11834896143939298</v>
      </c>
      <c r="F24" s="6">
        <f>IF(OR(F12="",F12=0),"-",F20/F12)</f>
        <v>0.13432928039423478</v>
      </c>
    </row>
    <row r="25" spans="1:6" x14ac:dyDescent="0.25">
      <c r="A25" s="12" t="s">
        <v>352</v>
      </c>
      <c r="B25" s="6">
        <f>IF(OR(B12="",B12=0),"-",B21/B12)</f>
        <v>1.7244556113902847E-2</v>
      </c>
      <c r="C25" s="6">
        <f>IF(OR(C12="",C12=0),"-",C21/C12)</f>
        <v>1.6219645437563882E-2</v>
      </c>
      <c r="D25" s="6">
        <f>IF(OR(D12="",D12=0),"-",D21/D12)</f>
        <v>1.5776100256562068E-2</v>
      </c>
      <c r="E25" s="6">
        <f>IF(OR(E12="",E12=0),"-",E21/E12)</f>
        <v>1.3924452170382308E-2</v>
      </c>
      <c r="F25" s="6">
        <f>IF(OR(F12="",F12=0),"-",F21/F12)</f>
        <v>1.089500428760265E-2</v>
      </c>
    </row>
    <row r="27" spans="1:6" x14ac:dyDescent="0.25">
      <c r="A27" s="17" t="s">
        <v>353</v>
      </c>
      <c r="B27" s="18"/>
      <c r="C27" s="18"/>
      <c r="D27" s="18"/>
      <c r="E27" s="18"/>
      <c r="F27" s="18"/>
    </row>
  </sheetData>
  <mergeCells count="4">
    <mergeCell ref="A2:F2"/>
    <mergeCell ref="A1:F1"/>
    <mergeCell ref="A17:F17"/>
    <mergeCell ref="A27:F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/>
  </sheetViews>
  <sheetFormatPr defaultRowHeight="15" x14ac:dyDescent="0.25"/>
  <cols>
    <col min="1" max="1" width="34" customWidth="1"/>
    <col min="2" max="4" width="12" customWidth="1"/>
  </cols>
  <sheetData>
    <row r="1" spans="1:4" ht="21.95" customHeight="1" x14ac:dyDescent="0.25">
      <c r="A1" s="16" t="s">
        <v>354</v>
      </c>
      <c r="B1" s="18"/>
      <c r="C1" s="18"/>
      <c r="D1" s="18"/>
    </row>
    <row r="2" spans="1:4" x14ac:dyDescent="0.25">
      <c r="A2" s="17" t="s">
        <v>355</v>
      </c>
      <c r="B2" s="18"/>
      <c r="C2" s="18"/>
      <c r="D2" s="18"/>
    </row>
    <row r="4" spans="1:4" x14ac:dyDescent="0.25">
      <c r="A4" s="3" t="s">
        <v>299</v>
      </c>
      <c r="B4" s="3" t="s">
        <v>308</v>
      </c>
      <c r="C4" s="3" t="s">
        <v>309</v>
      </c>
      <c r="D4" s="3" t="s">
        <v>310</v>
      </c>
    </row>
    <row r="5" spans="1:4" x14ac:dyDescent="0.25">
      <c r="A5" s="12" t="s">
        <v>356</v>
      </c>
      <c r="B5" s="5">
        <v>112504</v>
      </c>
      <c r="C5" s="5">
        <v>141852</v>
      </c>
      <c r="D5" s="5">
        <v>203679</v>
      </c>
    </row>
    <row r="6" spans="1:4" x14ac:dyDescent="0.25">
      <c r="A6" s="12" t="s">
        <v>357</v>
      </c>
      <c r="B6" s="5">
        <v>40435</v>
      </c>
      <c r="C6" s="5">
        <v>45403</v>
      </c>
      <c r="D6" s="5">
        <v>48348</v>
      </c>
    </row>
    <row r="7" spans="1:4" x14ac:dyDescent="0.25">
      <c r="A7" s="12" t="s">
        <v>358</v>
      </c>
      <c r="B7" s="5">
        <v>13728</v>
      </c>
      <c r="C7" s="5">
        <v>12574</v>
      </c>
      <c r="D7" s="5">
        <v>14463</v>
      </c>
    </row>
    <row r="8" spans="1:4" x14ac:dyDescent="0.25">
      <c r="A8" s="8" t="s">
        <v>359</v>
      </c>
      <c r="B8" s="14">
        <v>166667</v>
      </c>
      <c r="C8" s="14">
        <v>199829</v>
      </c>
      <c r="D8" s="14">
        <v>266490</v>
      </c>
    </row>
    <row r="9" spans="1:4" x14ac:dyDescent="0.25">
      <c r="A9" s="12" t="s">
        <v>360</v>
      </c>
      <c r="B9" s="5">
        <v>35136</v>
      </c>
      <c r="C9" s="5">
        <v>50597</v>
      </c>
      <c r="D9" s="5">
        <v>78592</v>
      </c>
    </row>
    <row r="10" spans="1:4" x14ac:dyDescent="0.25">
      <c r="A10" s="12" t="s">
        <v>317</v>
      </c>
      <c r="B10" s="5">
        <v>-67458</v>
      </c>
      <c r="C10" s="5">
        <v>-79390</v>
      </c>
      <c r="D10" s="5">
        <v>-98485</v>
      </c>
    </row>
    <row r="11" spans="1:4" x14ac:dyDescent="0.25">
      <c r="A11" s="8" t="s">
        <v>318</v>
      </c>
      <c r="B11" s="9">
        <f>B8+B9+B10</f>
        <v>134345</v>
      </c>
      <c r="C11" s="9">
        <f>C8+C9+C10</f>
        <v>171036</v>
      </c>
      <c r="D11" s="9">
        <f>D8+D9+D10</f>
        <v>246597</v>
      </c>
    </row>
    <row r="12" spans="1:4" x14ac:dyDescent="0.25">
      <c r="A12" s="8" t="s">
        <v>319</v>
      </c>
      <c r="B12" s="14">
        <v>134345</v>
      </c>
      <c r="C12" s="14">
        <v>171036</v>
      </c>
      <c r="D12" s="14">
        <v>246597</v>
      </c>
    </row>
    <row r="14" spans="1:4" x14ac:dyDescent="0.25">
      <c r="A14" s="19" t="s">
        <v>320</v>
      </c>
      <c r="B14" s="18"/>
      <c r="C14" s="18"/>
      <c r="D14" s="18"/>
    </row>
    <row r="15" spans="1:4" x14ac:dyDescent="0.25">
      <c r="A15" s="4" t="s">
        <v>361</v>
      </c>
      <c r="B15" s="7">
        <f t="shared" ref="B15:D16" si="0">B5</f>
        <v>112504</v>
      </c>
      <c r="C15" s="7">
        <f t="shared" si="0"/>
        <v>141852</v>
      </c>
      <c r="D15" s="7">
        <f t="shared" si="0"/>
        <v>203679</v>
      </c>
    </row>
    <row r="16" spans="1:4" x14ac:dyDescent="0.25">
      <c r="A16" s="4" t="s">
        <v>362</v>
      </c>
      <c r="B16" s="7">
        <f t="shared" si="0"/>
        <v>40435</v>
      </c>
      <c r="C16" s="7">
        <f t="shared" si="0"/>
        <v>45403</v>
      </c>
      <c r="D16" s="7">
        <f t="shared" si="0"/>
        <v>48348</v>
      </c>
    </row>
    <row r="17" spans="1:4" x14ac:dyDescent="0.25">
      <c r="A17" s="4" t="s">
        <v>360</v>
      </c>
      <c r="B17" s="7">
        <f>B9</f>
        <v>35136</v>
      </c>
      <c r="C17" s="7">
        <f>C9</f>
        <v>50597</v>
      </c>
      <c r="D17" s="7">
        <f>D9</f>
        <v>78592</v>
      </c>
    </row>
    <row r="18" spans="1:4" x14ac:dyDescent="0.25">
      <c r="A18" s="4" t="s">
        <v>363</v>
      </c>
      <c r="B18" s="7">
        <f>B7</f>
        <v>13728</v>
      </c>
      <c r="C18" s="7">
        <f>C7</f>
        <v>12574</v>
      </c>
      <c r="D18" s="7">
        <f>D7</f>
        <v>14463</v>
      </c>
    </row>
    <row r="19" spans="1:4" x14ac:dyDescent="0.25">
      <c r="A19" s="12" t="s">
        <v>364</v>
      </c>
      <c r="B19" s="6">
        <f>IF(OR(B8="",B8=0),"-",B15/B8)</f>
        <v>0.67502264995470007</v>
      </c>
      <c r="C19" s="6">
        <f>IF(OR(C8="",C8=0),"-",C15/C8)</f>
        <v>0.70986693623047703</v>
      </c>
      <c r="D19" s="6">
        <f>IF(OR(D8="",D8=0),"-",D15/D8)</f>
        <v>0.76430260047281329</v>
      </c>
    </row>
    <row r="20" spans="1:4" x14ac:dyDescent="0.25">
      <c r="A20" s="12" t="s">
        <v>365</v>
      </c>
      <c r="B20" s="6">
        <f>IF(OR(B8="",B8=0),"-",B16/B8)</f>
        <v>0.24260951478097043</v>
      </c>
      <c r="C20" s="6">
        <f>IF(OR(C8="",C8=0),"-",C16/C8)</f>
        <v>0.22720926392065216</v>
      </c>
      <c r="D20" s="6">
        <f>IF(OR(D8="",D8=0),"-",D16/D8)</f>
        <v>0.18142519419115163</v>
      </c>
    </row>
    <row r="21" spans="1:4" x14ac:dyDescent="0.25">
      <c r="A21" s="12" t="s">
        <v>366</v>
      </c>
      <c r="B21" s="6">
        <f>IF(OR(B8="",B8=0),"-",B17/B8)</f>
        <v>0.21081557836884326</v>
      </c>
      <c r="C21" s="6">
        <f>IF(OR(C8="",C8=0),"-",C17/C8)</f>
        <v>0.25320148727161723</v>
      </c>
      <c r="D21" s="6">
        <f>IF(OR(D8="",D8=0),"-",D17/D8)</f>
        <v>0.29491538144020413</v>
      </c>
    </row>
    <row r="22" spans="1:4" x14ac:dyDescent="0.25">
      <c r="A22" s="12" t="s">
        <v>367</v>
      </c>
      <c r="B22" s="6">
        <f>IF(OR(B8="",B8=0),"-",B18/B8)</f>
        <v>8.2367835264329475E-2</v>
      </c>
      <c r="C22" s="6">
        <f>IF(OR(C8="",C8=0),"-",C18/C8)</f>
        <v>6.2923799848870782E-2</v>
      </c>
      <c r="D22" s="6">
        <f>IF(OR(D8="",D8=0),"-",D18/D8)</f>
        <v>5.427220533603512E-2</v>
      </c>
    </row>
    <row r="24" spans="1:4" x14ac:dyDescent="0.25">
      <c r="A24" s="17" t="s">
        <v>368</v>
      </c>
      <c r="B24" s="18"/>
      <c r="C24" s="18"/>
      <c r="D24" s="18"/>
    </row>
  </sheetData>
  <mergeCells count="4">
    <mergeCell ref="A1:D1"/>
    <mergeCell ref="A14:D14"/>
    <mergeCell ref="A24:D2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5"/>
  <sheetViews>
    <sheetView workbookViewId="0"/>
  </sheetViews>
  <sheetFormatPr defaultRowHeight="15" x14ac:dyDescent="0.25"/>
  <cols>
    <col min="1" max="1" width="34" customWidth="1"/>
    <col min="2" max="4" width="12" customWidth="1"/>
  </cols>
  <sheetData>
    <row r="1" spans="1:4" ht="21.95" customHeight="1" x14ac:dyDescent="0.25">
      <c r="A1" s="16" t="s">
        <v>369</v>
      </c>
      <c r="B1" s="18"/>
      <c r="C1" s="18"/>
      <c r="D1" s="18"/>
    </row>
    <row r="2" spans="1:4" x14ac:dyDescent="0.25">
      <c r="A2" s="17" t="s">
        <v>370</v>
      </c>
      <c r="B2" s="18"/>
      <c r="C2" s="18"/>
      <c r="D2" s="18"/>
    </row>
    <row r="4" spans="1:4" x14ac:dyDescent="0.25">
      <c r="A4" s="3" t="s">
        <v>299</v>
      </c>
      <c r="B4" s="3" t="s">
        <v>308</v>
      </c>
      <c r="C4" s="3" t="s">
        <v>309</v>
      </c>
      <c r="D4" s="3" t="s">
        <v>310</v>
      </c>
    </row>
    <row r="5" spans="1:4" x14ac:dyDescent="0.25">
      <c r="A5" s="12" t="s">
        <v>311</v>
      </c>
      <c r="B5" s="5">
        <v>2080</v>
      </c>
      <c r="C5" s="5">
        <v>2561</v>
      </c>
      <c r="D5" s="5">
        <v>3687</v>
      </c>
    </row>
    <row r="6" spans="1:4" x14ac:dyDescent="0.25">
      <c r="A6" s="12" t="s">
        <v>371</v>
      </c>
      <c r="B6" s="5">
        <v>37961</v>
      </c>
      <c r="C6" s="5">
        <v>47076</v>
      </c>
      <c r="D6" s="5">
        <v>55568</v>
      </c>
    </row>
    <row r="7" spans="1:4" x14ac:dyDescent="0.25">
      <c r="A7" s="12" t="s">
        <v>313</v>
      </c>
      <c r="B7" s="5">
        <v>6972</v>
      </c>
      <c r="C7" s="5">
        <v>7293</v>
      </c>
      <c r="D7" s="5">
        <v>8346</v>
      </c>
    </row>
    <row r="8" spans="1:4" x14ac:dyDescent="0.25">
      <c r="A8" s="12" t="s">
        <v>372</v>
      </c>
      <c r="B8" s="5">
        <v>46838</v>
      </c>
      <c r="C8" s="5">
        <v>68397</v>
      </c>
      <c r="D8" s="5">
        <v>98040</v>
      </c>
    </row>
    <row r="9" spans="1:4" x14ac:dyDescent="0.25">
      <c r="A9" s="12" t="s">
        <v>373</v>
      </c>
      <c r="B9" s="5">
        <v>7416</v>
      </c>
      <c r="C9" s="5">
        <v>7150</v>
      </c>
      <c r="D9" s="5">
        <v>9377</v>
      </c>
    </row>
    <row r="10" spans="1:4" x14ac:dyDescent="0.25">
      <c r="A10" s="12" t="s">
        <v>374</v>
      </c>
      <c r="B10" s="5">
        <v>4185</v>
      </c>
      <c r="C10" s="5">
        <v>5384</v>
      </c>
      <c r="D10" s="5">
        <v>8187</v>
      </c>
    </row>
    <row r="11" spans="1:4" x14ac:dyDescent="0.25">
      <c r="A11" s="12" t="s">
        <v>330</v>
      </c>
      <c r="B11" s="5">
        <v>24269</v>
      </c>
      <c r="C11" s="5">
        <v>26802</v>
      </c>
      <c r="D11" s="5">
        <v>50521</v>
      </c>
    </row>
    <row r="12" spans="1:4" x14ac:dyDescent="0.25">
      <c r="A12" s="8" t="s">
        <v>316</v>
      </c>
      <c r="B12" s="14">
        <v>129721</v>
      </c>
      <c r="C12" s="14">
        <v>164663</v>
      </c>
      <c r="D12" s="14">
        <v>233726</v>
      </c>
    </row>
    <row r="13" spans="1:4" x14ac:dyDescent="0.25">
      <c r="A13" s="12" t="s">
        <v>317</v>
      </c>
      <c r="B13" s="5">
        <v>-33134</v>
      </c>
      <c r="C13" s="5">
        <v>-43317</v>
      </c>
      <c r="D13" s="5">
        <v>-57326</v>
      </c>
    </row>
    <row r="14" spans="1:4" x14ac:dyDescent="0.25">
      <c r="A14" s="8" t="s">
        <v>318</v>
      </c>
      <c r="B14" s="9">
        <f>B12+B13</f>
        <v>96587</v>
      </c>
      <c r="C14" s="9">
        <f>C12+C13</f>
        <v>121346</v>
      </c>
      <c r="D14" s="9">
        <f>D12+D13</f>
        <v>176400</v>
      </c>
    </row>
    <row r="15" spans="1:4" x14ac:dyDescent="0.25">
      <c r="A15" s="8" t="s">
        <v>319</v>
      </c>
      <c r="B15" s="14">
        <v>96587</v>
      </c>
      <c r="C15" s="14">
        <v>121346</v>
      </c>
      <c r="D15" s="14">
        <v>176400</v>
      </c>
    </row>
    <row r="17" spans="1:4" x14ac:dyDescent="0.25">
      <c r="A17" s="19" t="s">
        <v>320</v>
      </c>
      <c r="B17" s="18"/>
      <c r="C17" s="18"/>
      <c r="D17" s="18"/>
    </row>
    <row r="18" spans="1:4" x14ac:dyDescent="0.25">
      <c r="A18" s="4" t="s">
        <v>375</v>
      </c>
      <c r="B18" s="7">
        <f>B8</f>
        <v>46838</v>
      </c>
      <c r="C18" s="7">
        <f>C8</f>
        <v>68397</v>
      </c>
      <c r="D18" s="7">
        <f>D8</f>
        <v>98040</v>
      </c>
    </row>
    <row r="19" spans="1:4" x14ac:dyDescent="0.25">
      <c r="A19" s="4" t="s">
        <v>322</v>
      </c>
      <c r="B19" s="7">
        <f>B5+B6+B7</f>
        <v>47013</v>
      </c>
      <c r="C19" s="7">
        <f>C5+C6+C7</f>
        <v>56930</v>
      </c>
      <c r="D19" s="7">
        <f>D5+D6+D7</f>
        <v>67601</v>
      </c>
    </row>
    <row r="20" spans="1:4" x14ac:dyDescent="0.25">
      <c r="A20" s="4" t="s">
        <v>330</v>
      </c>
      <c r="B20" s="7">
        <f>B11</f>
        <v>24269</v>
      </c>
      <c r="C20" s="7">
        <f>C11</f>
        <v>26802</v>
      </c>
      <c r="D20" s="7">
        <f>D11</f>
        <v>50521</v>
      </c>
    </row>
    <row r="21" spans="1:4" x14ac:dyDescent="0.25">
      <c r="A21" s="4" t="s">
        <v>376</v>
      </c>
      <c r="B21" s="7">
        <f>B9+B10</f>
        <v>11601</v>
      </c>
      <c r="C21" s="7">
        <f>C9+C10</f>
        <v>12534</v>
      </c>
      <c r="D21" s="7">
        <f>D9+D10</f>
        <v>17564</v>
      </c>
    </row>
    <row r="22" spans="1:4" x14ac:dyDescent="0.25">
      <c r="A22" s="12" t="s">
        <v>377</v>
      </c>
      <c r="B22" s="6">
        <f>IF(OR(B12="",B12=0),"-",B18/B12)</f>
        <v>0.36106721348124049</v>
      </c>
      <c r="C22" s="6">
        <f>IF(OR(C12="",C12=0),"-",C18/C12)</f>
        <v>0.41537564601640925</v>
      </c>
      <c r="D22" s="6">
        <f>IF(OR(D12="",D12=0),"-",D18/D12)</f>
        <v>0.41946552801143216</v>
      </c>
    </row>
    <row r="23" spans="1:4" x14ac:dyDescent="0.25">
      <c r="A23" s="12" t="s">
        <v>325</v>
      </c>
      <c r="B23" s="6">
        <f>IF(OR(B12="",B12=0),"-",B19/B12)</f>
        <v>0.36241626259433707</v>
      </c>
      <c r="C23" s="6">
        <f>IF(OR(C12="",C12=0),"-",C19/C12)</f>
        <v>0.34573644352404609</v>
      </c>
      <c r="D23" s="6">
        <f>IF(OR(D12="",D12=0),"-",D19/D12)</f>
        <v>0.28923183556814391</v>
      </c>
    </row>
    <row r="24" spans="1:4" x14ac:dyDescent="0.25">
      <c r="A24" s="12" t="s">
        <v>337</v>
      </c>
      <c r="B24" s="6">
        <f>IF(OR(B12="",B12=0),"-",B20/B12)</f>
        <v>0.18708613100423216</v>
      </c>
      <c r="C24" s="6">
        <f>IF(OR(C12="",C12=0),"-",C20/C12)</f>
        <v>0.16276880659285936</v>
      </c>
      <c r="D24" s="6">
        <f>IF(OR(D12="",D12=0),"-",D20/D12)</f>
        <v>0.21615481375627871</v>
      </c>
    </row>
    <row r="25" spans="1:4" x14ac:dyDescent="0.25">
      <c r="A25" s="12" t="s">
        <v>378</v>
      </c>
      <c r="B25" s="6">
        <f>IF(OR(B12="",B12=0),"-",B21/B12)</f>
        <v>8.9430392920190255E-2</v>
      </c>
      <c r="C25" s="6">
        <f>IF(OR(C12="",C12=0),"-",C21/C12)</f>
        <v>7.6119103866685286E-2</v>
      </c>
      <c r="D25" s="6">
        <f>IF(OR(D12="",D12=0),"-",D21/D12)</f>
        <v>7.51478226641452E-2</v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workbookViewId="0"/>
  </sheetViews>
  <sheetFormatPr defaultRowHeight="15" x14ac:dyDescent="0.25"/>
  <cols>
    <col min="1" max="1" width="30" customWidth="1"/>
    <col min="2" max="7" width="14" customWidth="1"/>
    <col min="8" max="9" width="13" customWidth="1"/>
  </cols>
  <sheetData>
    <row r="1" spans="1:9" ht="21.95" customHeight="1" x14ac:dyDescent="0.25">
      <c r="A1" s="16" t="s">
        <v>379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7" t="s">
        <v>380</v>
      </c>
      <c r="B2" s="18"/>
      <c r="C2" s="18"/>
      <c r="D2" s="18"/>
      <c r="E2" s="18"/>
      <c r="F2" s="18"/>
      <c r="G2" s="18"/>
      <c r="H2" s="18"/>
      <c r="I2" s="18"/>
    </row>
    <row r="4" spans="1:9" ht="26.25" x14ac:dyDescent="0.25">
      <c r="A4" s="3" t="s">
        <v>381</v>
      </c>
      <c r="B4" s="3" t="s">
        <v>382</v>
      </c>
      <c r="C4" s="3" t="s">
        <v>383</v>
      </c>
      <c r="D4" s="3" t="s">
        <v>384</v>
      </c>
      <c r="E4" s="3" t="s">
        <v>385</v>
      </c>
      <c r="F4" s="3" t="s">
        <v>386</v>
      </c>
      <c r="G4" s="3" t="s">
        <v>387</v>
      </c>
      <c r="H4" s="3" t="s">
        <v>388</v>
      </c>
      <c r="I4" s="3" t="s">
        <v>389</v>
      </c>
    </row>
    <row r="5" spans="1:9" x14ac:dyDescent="0.25">
      <c r="A5" s="4" t="s">
        <v>390</v>
      </c>
      <c r="B5" s="15">
        <f>'PPE MSFT'!L16</f>
        <v>132836</v>
      </c>
      <c r="C5" s="15">
        <f>'PPE MSFT'!L17</f>
        <v>159376</v>
      </c>
      <c r="D5" s="15"/>
      <c r="E5" s="15">
        <f>'PPE MSFT'!L18</f>
        <v>6407</v>
      </c>
      <c r="F5" s="15">
        <f>'PPE MSFT'!L10</f>
        <v>298619</v>
      </c>
      <c r="G5" s="6">
        <f t="shared" ref="G5:G10" si="0">B5/F5</f>
        <v>0.44483438763106165</v>
      </c>
      <c r="H5" s="6">
        <f t="shared" ref="H5:H10" si="1">C5/F5</f>
        <v>0.53371017919154506</v>
      </c>
      <c r="I5" s="6" t="str">
        <f>IF(D5="","-",D5/F5)</f>
        <v>-</v>
      </c>
    </row>
    <row r="6" spans="1:9" x14ac:dyDescent="0.25">
      <c r="A6" s="4" t="s">
        <v>391</v>
      </c>
      <c r="B6" s="15">
        <f>'PPE AMZN'!F18</f>
        <v>301413</v>
      </c>
      <c r="C6" s="15">
        <f>'PPE AMZN'!F19</f>
        <v>155121</v>
      </c>
      <c r="D6" s="15">
        <f>'PPE AMZN'!F20</f>
        <v>71745</v>
      </c>
      <c r="E6" s="15">
        <f>'PPE AMZN'!F21</f>
        <v>5819</v>
      </c>
      <c r="F6" s="15">
        <f>'PPE AMZN'!F12</f>
        <v>534098</v>
      </c>
      <c r="G6" s="6">
        <f t="shared" si="0"/>
        <v>0.56434025216346062</v>
      </c>
      <c r="H6" s="6">
        <f t="shared" si="1"/>
        <v>0.29043546315470192</v>
      </c>
      <c r="I6" s="6">
        <f>IF(D6="","-",D6/F6)</f>
        <v>0.13432928039423478</v>
      </c>
    </row>
    <row r="7" spans="1:9" x14ac:dyDescent="0.25">
      <c r="A7" s="4" t="s">
        <v>392</v>
      </c>
      <c r="B7" s="15">
        <f>'PPE GOOGL'!D15</f>
        <v>203679</v>
      </c>
      <c r="C7" s="15">
        <f>'PPE GOOGL'!D16</f>
        <v>48348</v>
      </c>
      <c r="D7" s="15">
        <f>'PPE GOOGL'!D17</f>
        <v>78592</v>
      </c>
      <c r="E7" s="15">
        <f>'PPE GOOGL'!D18</f>
        <v>14463</v>
      </c>
      <c r="F7" s="15">
        <f>'PPE GOOGL'!D8</f>
        <v>266490</v>
      </c>
      <c r="G7" s="6">
        <f t="shared" si="0"/>
        <v>0.76430260047281329</v>
      </c>
      <c r="H7" s="6">
        <f t="shared" si="1"/>
        <v>0.18142519419115163</v>
      </c>
      <c r="I7" s="6">
        <f>IF(D7="","-",D7/F7)</f>
        <v>0.29491538144020413</v>
      </c>
    </row>
    <row r="8" spans="1:9" x14ac:dyDescent="0.25">
      <c r="A8" s="4" t="s">
        <v>393</v>
      </c>
      <c r="B8" s="15">
        <f>'PPE META'!D18</f>
        <v>98040</v>
      </c>
      <c r="C8" s="15">
        <f>'PPE META'!D19</f>
        <v>67601</v>
      </c>
      <c r="D8" s="15">
        <f>'PPE META'!D20</f>
        <v>50521</v>
      </c>
      <c r="E8" s="15">
        <f>'PPE META'!D21</f>
        <v>17564</v>
      </c>
      <c r="F8" s="15">
        <f>'PPE META'!D12</f>
        <v>233726</v>
      </c>
      <c r="G8" s="6">
        <f t="shared" si="0"/>
        <v>0.41946552801143216</v>
      </c>
      <c r="H8" s="6">
        <f t="shared" si="1"/>
        <v>0.28923183556814391</v>
      </c>
      <c r="I8" s="6">
        <f>IF(D8="","-",D8/F8)</f>
        <v>0.21615481375627871</v>
      </c>
    </row>
    <row r="9" spans="1:9" x14ac:dyDescent="0.25">
      <c r="A9" s="4" t="s">
        <v>394</v>
      </c>
      <c r="B9" s="15">
        <f>'PPE ORCL'!L16</f>
        <v>30345</v>
      </c>
      <c r="C9" s="15">
        <f>'PPE ORCL'!L17</f>
        <v>12233</v>
      </c>
      <c r="D9" s="15">
        <f>'PPE ORCL'!L18</f>
        <v>16510</v>
      </c>
      <c r="E9" s="15">
        <f>'PPE ORCL'!L19</f>
        <v>466</v>
      </c>
      <c r="F9" s="15">
        <f>'PPE ORCL'!L10</f>
        <v>59554</v>
      </c>
      <c r="G9" s="6">
        <f t="shared" si="0"/>
        <v>0.50953756254827554</v>
      </c>
      <c r="H9" s="6">
        <f t="shared" si="1"/>
        <v>0.205410215938476</v>
      </c>
      <c r="I9" s="6">
        <f>IF(D9="","-",D9/F9)</f>
        <v>0.27722739026765625</v>
      </c>
    </row>
    <row r="10" spans="1:9" x14ac:dyDescent="0.25">
      <c r="A10" s="8" t="s">
        <v>39</v>
      </c>
      <c r="B10" s="9">
        <f>SUM(B5:B9)</f>
        <v>766313</v>
      </c>
      <c r="C10" s="9">
        <f>SUM(C5:C9)</f>
        <v>442679</v>
      </c>
      <c r="D10" s="9">
        <f>SUM(D5:D9)</f>
        <v>217368</v>
      </c>
      <c r="E10" s="9">
        <f>SUM(E5:E9)</f>
        <v>44719</v>
      </c>
      <c r="F10" s="9">
        <f>SUM(F5:F9)</f>
        <v>1392487</v>
      </c>
      <c r="G10" s="11">
        <f t="shared" si="0"/>
        <v>0.55031967982465901</v>
      </c>
      <c r="H10" s="11">
        <f t="shared" si="1"/>
        <v>0.31790530180892174</v>
      </c>
      <c r="I10" s="11">
        <f>D10/F10</f>
        <v>0.15610055964615827</v>
      </c>
    </row>
    <row r="12" spans="1:9" x14ac:dyDescent="0.25">
      <c r="A12" s="17" t="s">
        <v>395</v>
      </c>
      <c r="B12" s="18"/>
      <c r="C12" s="18"/>
      <c r="D12" s="18"/>
      <c r="E12" s="18"/>
      <c r="F12" s="18"/>
      <c r="G12" s="18"/>
      <c r="H12" s="18"/>
      <c r="I12" s="18"/>
    </row>
  </sheetData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Fwd Windows</vt:lpstr>
      <vt:lpstr>CY vs Capstone</vt:lpstr>
      <vt:lpstr>Fiscal Years</vt:lpstr>
      <vt:lpstr>Yearly History</vt:lpstr>
      <vt:lpstr>Revisions</vt:lpstr>
      <vt:lpstr>PPE MSFT</vt:lpstr>
      <vt:lpstr>PPE ORCL</vt:lpstr>
      <vt:lpstr>PPE AMZN</vt:lpstr>
      <vt:lpstr>PPE GOOGL</vt:lpstr>
      <vt:lpstr>PPE META</vt:lpstr>
      <vt:lpstr>PPE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2026-06-11T17:07:47Z</dcterms:created>
  <dcterms:modified xsi:type="dcterms:W3CDTF">2026-06-11T17:08:07Z</dcterms:modified>
</cp:coreProperties>
</file>